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 activeTab="5"/>
  </bookViews>
  <sheets>
    <sheet name="HR Plate" sheetId="1" r:id="rId1"/>
    <sheet name="HRC" sheetId="2" r:id="rId2"/>
    <sheet name="Rebar BF Mumbai" sheetId="3" r:id="rId3"/>
    <sheet name="Rebar IF Mumbai" sheetId="4" r:id="rId4"/>
    <sheet name="Rebar IF Raipur" sheetId="5" r:id="rId5"/>
    <sheet name="Structur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<sst xmlns="http://schemas.openxmlformats.org/spreadsheetml/2006/main" count="72" uniqueCount="16">
  <si>
    <t>HR Plate – NHITS Week-1 Forecast Accuracy</t>
  </si>
  <si>
    <t>Date</t>
  </si>
  <si>
    <t>Average</t>
  </si>
  <si>
    <t>Actual (₹/ton)</t>
  </si>
  <si>
    <t>Forecast (₹/ton)</t>
  </si>
  <si>
    <t>MAE</t>
  </si>
  <si>
    <t>MAPE (%)</t>
  </si>
  <si>
    <t>MAPA (%)</t>
  </si>
  <si>
    <t>Directional Accuracy</t>
  </si>
  <si>
    <t>N/A</t>
  </si>
  <si>
    <t>Delta Accuracy</t>
  </si>
  <si>
    <t>HRC – NHITS Week-1 Forecast Accuracy</t>
  </si>
  <si>
    <t>Rebar BF Mumbai – NHITS Week-1 Forecast Accuracy</t>
  </si>
  <si>
    <t>Rebar IF Mumbai – NHITS Week-1 Forecast Accuracy</t>
  </si>
  <si>
    <t>Rebar IF Raipur – NHITS Week-1 Forecast Accuracy</t>
  </si>
  <si>
    <t>Structure – Forecast Accuracy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</si>
</sst>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\-mmm\-yy"/>
  </numFmts>
  <fonts count="27">
    <font>
      <sz val="11"/>
      <color theme="1"/>
      <name val="Calibri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D9D9"/>
        <bgColor rgb="FFD6E4F0"/>
      </patternFill>
    </fill>
    <fill>
      <patternFill patternType="solid">
        <fgColor rgb="FFD6E4F0"/>
        <bgColor rgb="FFD9D9D9"/>
      </patternFill>
    </fill>
    <fill>
      <patternFill patternType="solid">
        <fgColor rgb="FFEBF5EB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BF5EB"/>
      </patternFill>
    </fill>
    <fill>
      <patternFill patternType="solid">
        <fgColor rgb="FFF4CCCC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1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4" fontId="5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2" fontId="5" fillId="8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1" fontId="5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5" fillId="10" borderId="1" xfId="0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EBF5EB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6E4F0"/>
      <rgbColor rgb="00E2EFDA"/>
      <rgbColor rgb="00FCE4D6"/>
      <rgbColor rgb="0099CCFF"/>
      <rgbColor rgb="00FF99CC"/>
      <rgbColor rgb="00CC99FF"/>
      <rgbColor rgb="00F4CCCC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9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7" sqref="$A7:$XFD7"/>
    </sheetView>
  </sheetViews>
  <sheetFormatPr defaultColWidth="8.67592592592593" defaultRowHeight="14.4"/>
  <cols>
    <col min="1" max="1" width="22" customWidth="1"/>
    <col min="2" max="74" width="12" customWidth="1"/>
  </cols>
  <sheetData>
    <row r="1" ht="19.5" customHeight="1" spans="1:7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19.5" customHeight="1" spans="1:74">
      <c r="A2" s="2" t="s">
        <v>1</v>
      </c>
      <c r="B2" s="3">
        <v>45655</v>
      </c>
      <c r="C2" s="3">
        <v>45662</v>
      </c>
      <c r="D2" s="3">
        <v>45669</v>
      </c>
      <c r="E2" s="3">
        <v>45676</v>
      </c>
      <c r="F2" s="3">
        <v>45683</v>
      </c>
      <c r="G2" s="3">
        <v>45690</v>
      </c>
      <c r="H2" s="3">
        <v>45697</v>
      </c>
      <c r="I2" s="3">
        <v>45704</v>
      </c>
      <c r="J2" s="3">
        <v>45711</v>
      </c>
      <c r="K2" s="3">
        <v>45718</v>
      </c>
      <c r="L2" s="3">
        <v>45725</v>
      </c>
      <c r="M2" s="3">
        <v>45732</v>
      </c>
      <c r="N2" s="3">
        <v>45739</v>
      </c>
      <c r="O2" s="3">
        <v>45746</v>
      </c>
      <c r="P2" s="3">
        <v>45753</v>
      </c>
      <c r="Q2" s="3">
        <v>45760</v>
      </c>
      <c r="R2" s="3">
        <v>45767</v>
      </c>
      <c r="S2" s="3">
        <v>45774</v>
      </c>
      <c r="T2" s="3">
        <v>45781</v>
      </c>
      <c r="U2" s="3">
        <v>45788</v>
      </c>
      <c r="V2" s="3">
        <v>45795</v>
      </c>
      <c r="W2" s="3">
        <v>45802</v>
      </c>
      <c r="X2" s="3">
        <v>45809</v>
      </c>
      <c r="Y2" s="3">
        <v>45816</v>
      </c>
      <c r="Z2" s="3">
        <v>45823</v>
      </c>
      <c r="AA2" s="3">
        <v>45830</v>
      </c>
      <c r="AB2" s="3">
        <v>45837</v>
      </c>
      <c r="AC2" s="3">
        <v>45844</v>
      </c>
      <c r="AD2" s="3">
        <v>45851</v>
      </c>
      <c r="AE2" s="3">
        <v>45858</v>
      </c>
      <c r="AF2" s="3">
        <v>45865</v>
      </c>
      <c r="AG2" s="3">
        <v>45872</v>
      </c>
      <c r="AH2" s="3">
        <v>45879</v>
      </c>
      <c r="AI2" s="3">
        <v>45886</v>
      </c>
      <c r="AJ2" s="3">
        <v>45893</v>
      </c>
      <c r="AK2" s="3">
        <v>45900</v>
      </c>
      <c r="AL2" s="3">
        <v>45907</v>
      </c>
      <c r="AM2" s="3">
        <v>45914</v>
      </c>
      <c r="AN2" s="3">
        <v>45921</v>
      </c>
      <c r="AO2" s="3">
        <v>45928</v>
      </c>
      <c r="AP2" s="3">
        <v>45935</v>
      </c>
      <c r="AQ2" s="3">
        <v>45942</v>
      </c>
      <c r="AR2" s="3">
        <v>45949</v>
      </c>
      <c r="AS2" s="3">
        <v>45956</v>
      </c>
      <c r="AT2" s="3">
        <v>45963</v>
      </c>
      <c r="AU2" s="3">
        <v>45970</v>
      </c>
      <c r="AV2" s="3">
        <v>45977</v>
      </c>
      <c r="AW2" s="3">
        <v>45984</v>
      </c>
      <c r="AX2" s="3">
        <v>45991</v>
      </c>
      <c r="AY2" s="3">
        <v>45998</v>
      </c>
      <c r="AZ2" s="3">
        <v>46005</v>
      </c>
      <c r="BA2" s="3">
        <v>46012</v>
      </c>
      <c r="BB2" s="3">
        <v>46019</v>
      </c>
      <c r="BC2" s="3">
        <v>46026</v>
      </c>
      <c r="BD2" s="3">
        <v>46033</v>
      </c>
      <c r="BE2" s="3">
        <v>46040</v>
      </c>
      <c r="BF2" s="3">
        <v>46047</v>
      </c>
      <c r="BG2" s="3">
        <v>46054</v>
      </c>
      <c r="BH2" s="3">
        <v>46061</v>
      </c>
      <c r="BI2" s="3">
        <v>46068</v>
      </c>
      <c r="BJ2" s="3">
        <v>46075</v>
      </c>
      <c r="BK2" s="3">
        <v>46082</v>
      </c>
      <c r="BL2" s="3">
        <v>46089</v>
      </c>
      <c r="BM2" s="3">
        <v>46096</v>
      </c>
      <c r="BN2" s="3">
        <v>46103</v>
      </c>
      <c r="BO2" s="3">
        <v>46110</v>
      </c>
      <c r="BP2" s="3">
        <v>46117</v>
      </c>
      <c r="BQ2" s="3">
        <v>46124</v>
      </c>
      <c r="BR2" s="3">
        <v>46131</v>
      </c>
      <c r="BS2" s="3">
        <v>46138</v>
      </c>
      <c r="BT2" s="3">
        <v>46145</v>
      </c>
      <c r="BU2" s="3">
        <v>46152</v>
      </c>
      <c r="BV2" s="4" t="s">
        <v>2</v>
      </c>
    </row>
    <row r="3" ht="16.5" customHeight="1" spans="1:74">
      <c r="A3" s="5" t="s">
        <v>3</v>
      </c>
      <c r="B3" s="6">
        <v>48100</v>
      </c>
      <c r="C3" s="6">
        <v>48100</v>
      </c>
      <c r="D3" s="6">
        <v>48200</v>
      </c>
      <c r="E3" s="6">
        <v>48500</v>
      </c>
      <c r="F3" s="6">
        <v>48400</v>
      </c>
      <c r="G3" s="6">
        <v>48600</v>
      </c>
      <c r="H3" s="6">
        <v>49000</v>
      </c>
      <c r="I3" s="6">
        <v>49000</v>
      </c>
      <c r="J3" s="6">
        <v>49000</v>
      </c>
      <c r="K3" s="6">
        <v>49000</v>
      </c>
      <c r="L3" s="6">
        <v>49000</v>
      </c>
      <c r="M3" s="6">
        <v>49500</v>
      </c>
      <c r="N3" s="6">
        <v>49600</v>
      </c>
      <c r="O3" s="6">
        <v>51500</v>
      </c>
      <c r="P3" s="6">
        <v>52000</v>
      </c>
      <c r="Q3" s="6">
        <v>51500</v>
      </c>
      <c r="R3" s="6">
        <v>51500</v>
      </c>
      <c r="S3" s="6">
        <v>52500</v>
      </c>
      <c r="T3" s="6">
        <v>53000</v>
      </c>
      <c r="U3" s="6">
        <v>53000</v>
      </c>
      <c r="V3" s="6">
        <v>53300</v>
      </c>
      <c r="W3" s="6">
        <v>52800</v>
      </c>
      <c r="X3" s="6">
        <v>52000</v>
      </c>
      <c r="Y3" s="6">
        <v>52000</v>
      </c>
      <c r="Z3" s="6">
        <v>52000</v>
      </c>
      <c r="AA3" s="6">
        <v>52000</v>
      </c>
      <c r="AB3" s="6">
        <v>51900</v>
      </c>
      <c r="AC3" s="6">
        <v>51600</v>
      </c>
      <c r="AD3" s="6">
        <v>51000</v>
      </c>
      <c r="AE3" s="6">
        <v>50500</v>
      </c>
      <c r="AF3" s="6">
        <v>50000</v>
      </c>
      <c r="AG3" s="6">
        <v>50000</v>
      </c>
      <c r="AH3" s="6">
        <v>50300</v>
      </c>
      <c r="AI3" s="6">
        <v>50500</v>
      </c>
      <c r="AJ3" s="6">
        <v>50500</v>
      </c>
      <c r="AK3" s="6">
        <v>50700</v>
      </c>
      <c r="AL3" s="6">
        <v>50800</v>
      </c>
      <c r="AM3" s="6">
        <v>50500</v>
      </c>
      <c r="AN3" s="6">
        <v>50000</v>
      </c>
      <c r="AO3" s="6">
        <v>50000</v>
      </c>
      <c r="AP3" s="6">
        <v>50000</v>
      </c>
      <c r="AQ3" s="6">
        <v>49800</v>
      </c>
      <c r="AR3" s="6">
        <v>49000</v>
      </c>
      <c r="AS3" s="6">
        <v>49000</v>
      </c>
      <c r="AT3" s="6">
        <v>49000</v>
      </c>
      <c r="AU3" s="6">
        <v>49600</v>
      </c>
      <c r="AV3" s="6">
        <v>49600</v>
      </c>
      <c r="AW3" s="6">
        <v>49000</v>
      </c>
      <c r="AX3" s="6">
        <v>48600</v>
      </c>
      <c r="AY3" s="6">
        <v>46700</v>
      </c>
      <c r="AZ3" s="6">
        <v>46800</v>
      </c>
      <c r="BA3" s="6">
        <v>46800</v>
      </c>
      <c r="BB3" s="6">
        <v>48000</v>
      </c>
      <c r="BC3" s="6">
        <v>50400</v>
      </c>
      <c r="BD3" s="6">
        <v>51400</v>
      </c>
      <c r="BE3" s="6">
        <v>52000</v>
      </c>
      <c r="BF3" s="6">
        <v>53000</v>
      </c>
      <c r="BG3" s="6">
        <v>53400</v>
      </c>
      <c r="BH3" s="6">
        <v>55100</v>
      </c>
      <c r="BI3" s="6">
        <v>55200</v>
      </c>
      <c r="BJ3" s="6">
        <v>54600</v>
      </c>
      <c r="BK3" s="6">
        <v>54000</v>
      </c>
      <c r="BL3" s="6">
        <v>54400</v>
      </c>
      <c r="BM3" s="6">
        <v>55600</v>
      </c>
      <c r="BN3" s="6">
        <v>56900</v>
      </c>
      <c r="BO3" s="6">
        <v>58200</v>
      </c>
      <c r="BP3" s="6">
        <v>59100</v>
      </c>
      <c r="BQ3" s="6">
        <v>59500</v>
      </c>
      <c r="BR3" s="6">
        <v>59500</v>
      </c>
      <c r="BS3" s="6">
        <v>59300</v>
      </c>
      <c r="BT3" s="6">
        <v>58800</v>
      </c>
      <c r="BU3" s="6">
        <v>58800</v>
      </c>
      <c r="BV3" s="7"/>
    </row>
    <row r="4" ht="16.5" customHeight="1" spans="1:74">
      <c r="A4" s="8" t="s">
        <v>4</v>
      </c>
      <c r="B4" s="9">
        <v>48841.262</v>
      </c>
      <c r="C4" s="9">
        <v>48822.609</v>
      </c>
      <c r="D4" s="9">
        <v>48770.609</v>
      </c>
      <c r="E4" s="9">
        <v>48820.766</v>
      </c>
      <c r="F4" s="9">
        <v>48863.484</v>
      </c>
      <c r="G4" s="9">
        <v>48582.539</v>
      </c>
      <c r="H4" s="9">
        <v>48713.406</v>
      </c>
      <c r="I4" s="9">
        <v>49091.992</v>
      </c>
      <c r="J4" s="9">
        <v>49146.156</v>
      </c>
      <c r="K4" s="9">
        <v>49430.562</v>
      </c>
      <c r="L4" s="9">
        <v>49122.398</v>
      </c>
      <c r="M4" s="9">
        <v>48848.82</v>
      </c>
      <c r="N4" s="9">
        <v>49280.305</v>
      </c>
      <c r="O4" s="9">
        <v>49339.43</v>
      </c>
      <c r="P4" s="9">
        <v>50840.762</v>
      </c>
      <c r="Q4" s="9">
        <v>51544.129</v>
      </c>
      <c r="R4" s="9">
        <v>51054.434</v>
      </c>
      <c r="S4" s="9">
        <v>51220.027</v>
      </c>
      <c r="T4" s="9">
        <v>52180.035</v>
      </c>
      <c r="U4" s="9">
        <v>52583.594</v>
      </c>
      <c r="V4" s="9">
        <v>52592.57</v>
      </c>
      <c r="W4" s="9">
        <v>53057.566</v>
      </c>
      <c r="X4" s="9">
        <v>52462.613</v>
      </c>
      <c r="Y4" s="9">
        <v>51899.262</v>
      </c>
      <c r="Z4" s="9">
        <v>51934.094</v>
      </c>
      <c r="AA4" s="9">
        <v>51825.645</v>
      </c>
      <c r="AB4" s="9">
        <v>52133.098</v>
      </c>
      <c r="AC4" s="9">
        <v>51955.695</v>
      </c>
      <c r="AD4" s="9">
        <v>51804.805</v>
      </c>
      <c r="AE4" s="9">
        <v>51322.891</v>
      </c>
      <c r="AF4" s="9">
        <v>50868.234</v>
      </c>
      <c r="AG4" s="9">
        <v>50297.156</v>
      </c>
      <c r="AH4" s="9">
        <v>50384.531</v>
      </c>
      <c r="AI4" s="9">
        <v>50803.973</v>
      </c>
      <c r="AJ4" s="9">
        <v>51041.078</v>
      </c>
      <c r="AK4" s="9">
        <v>50990.941</v>
      </c>
      <c r="AL4" s="9">
        <v>51123.359</v>
      </c>
      <c r="AM4" s="9">
        <v>51243.008</v>
      </c>
      <c r="AN4" s="9">
        <v>50789.234</v>
      </c>
      <c r="AO4" s="9">
        <v>50300.863</v>
      </c>
      <c r="AP4" s="9">
        <v>50222.086</v>
      </c>
      <c r="AQ4" s="9">
        <v>50116.668</v>
      </c>
      <c r="AR4" s="9">
        <v>49912.094</v>
      </c>
      <c r="AS4" s="9">
        <v>49046.359</v>
      </c>
      <c r="AT4" s="9">
        <v>49124.676</v>
      </c>
      <c r="AU4" s="9">
        <v>49080.602</v>
      </c>
      <c r="AV4" s="9">
        <v>49587.812</v>
      </c>
      <c r="AW4" s="9">
        <v>49599.801</v>
      </c>
      <c r="AX4" s="9">
        <v>48902.164</v>
      </c>
      <c r="AY4" s="9">
        <v>48553.977</v>
      </c>
      <c r="AZ4" s="9">
        <v>46650.645</v>
      </c>
      <c r="BA4" s="9">
        <v>46873.906</v>
      </c>
      <c r="BB4" s="9">
        <v>46791.379</v>
      </c>
      <c r="BC4" s="9">
        <v>47884.461</v>
      </c>
      <c r="BD4" s="9">
        <v>50393.652</v>
      </c>
      <c r="BE4" s="9">
        <v>51237.43</v>
      </c>
      <c r="BF4" s="9">
        <v>51999.754</v>
      </c>
      <c r="BG4" s="9">
        <v>53105.121</v>
      </c>
      <c r="BH4" s="9">
        <v>53342.07</v>
      </c>
      <c r="BI4" s="9">
        <v>54938.16</v>
      </c>
      <c r="BJ4" s="9">
        <v>55149.047</v>
      </c>
      <c r="BK4" s="9">
        <v>54543.941</v>
      </c>
      <c r="BL4" s="9">
        <v>53866.117</v>
      </c>
      <c r="BM4" s="9">
        <v>54139.484</v>
      </c>
      <c r="BN4" s="9">
        <v>55487.922</v>
      </c>
      <c r="BO4" s="9">
        <v>56746.082</v>
      </c>
      <c r="BP4" s="9">
        <v>58098.18</v>
      </c>
      <c r="BQ4" s="9">
        <v>59048.34</v>
      </c>
      <c r="BR4" s="9">
        <v>59435.375</v>
      </c>
      <c r="BS4" s="9">
        <v>59549.508</v>
      </c>
      <c r="BT4" s="9">
        <v>59359.258</v>
      </c>
      <c r="BU4" s="9">
        <v>58999.098</v>
      </c>
      <c r="BV4" s="7"/>
    </row>
    <row r="5" ht="16.5" customHeight="1" spans="1:74">
      <c r="A5" s="10" t="s">
        <v>5</v>
      </c>
      <c r="B5" s="11">
        <f t="shared" ref="B5:BM5" si="0">ABS(B3-B4)</f>
        <v>741.262000000002</v>
      </c>
      <c r="C5" s="11">
        <f t="shared" si="0"/>
        <v>722.608999999997</v>
      </c>
      <c r="D5" s="11">
        <f t="shared" si="0"/>
        <v>570.608999999997</v>
      </c>
      <c r="E5" s="11">
        <f t="shared" si="0"/>
        <v>320.766000000003</v>
      </c>
      <c r="F5" s="11">
        <f t="shared" si="0"/>
        <v>463.483999999997</v>
      </c>
      <c r="G5" s="11">
        <f t="shared" si="0"/>
        <v>17.461000000003</v>
      </c>
      <c r="H5" s="11">
        <f t="shared" si="0"/>
        <v>286.593999999997</v>
      </c>
      <c r="I5" s="11">
        <f t="shared" si="0"/>
        <v>91.9919999999984</v>
      </c>
      <c r="J5" s="11">
        <f t="shared" si="0"/>
        <v>146.156000000003</v>
      </c>
      <c r="K5" s="11">
        <f t="shared" si="0"/>
        <v>430.561999999998</v>
      </c>
      <c r="L5" s="11">
        <f t="shared" si="0"/>
        <v>122.398000000001</v>
      </c>
      <c r="M5" s="11">
        <f t="shared" si="0"/>
        <v>651.18</v>
      </c>
      <c r="N5" s="11">
        <f t="shared" si="0"/>
        <v>319.695</v>
      </c>
      <c r="O5" s="11">
        <f t="shared" si="0"/>
        <v>2160.57</v>
      </c>
      <c r="P5" s="11">
        <f t="shared" si="0"/>
        <v>1159.238</v>
      </c>
      <c r="Q5" s="11">
        <f t="shared" si="0"/>
        <v>44.1290000000008</v>
      </c>
      <c r="R5" s="11">
        <f t="shared" si="0"/>
        <v>445.565999999999</v>
      </c>
      <c r="S5" s="11">
        <f t="shared" si="0"/>
        <v>1279.973</v>
      </c>
      <c r="T5" s="11">
        <f t="shared" si="0"/>
        <v>819.964999999997</v>
      </c>
      <c r="U5" s="11">
        <f t="shared" si="0"/>
        <v>416.406000000003</v>
      </c>
      <c r="V5" s="11">
        <f t="shared" si="0"/>
        <v>707.43</v>
      </c>
      <c r="W5" s="11">
        <f t="shared" si="0"/>
        <v>257.565999999999</v>
      </c>
      <c r="X5" s="11">
        <f t="shared" si="0"/>
        <v>462.612999999998</v>
      </c>
      <c r="Y5" s="11">
        <f t="shared" si="0"/>
        <v>100.737999999998</v>
      </c>
      <c r="Z5" s="11">
        <f t="shared" si="0"/>
        <v>65.9060000000027</v>
      </c>
      <c r="AA5" s="11">
        <f t="shared" si="0"/>
        <v>174.355000000003</v>
      </c>
      <c r="AB5" s="11">
        <f t="shared" si="0"/>
        <v>233.097999999998</v>
      </c>
      <c r="AC5" s="11">
        <f t="shared" si="0"/>
        <v>355.695</v>
      </c>
      <c r="AD5" s="11">
        <f t="shared" si="0"/>
        <v>804.805</v>
      </c>
      <c r="AE5" s="11">
        <f t="shared" si="0"/>
        <v>822.891000000003</v>
      </c>
      <c r="AF5" s="11">
        <f t="shared" si="0"/>
        <v>868.233999999997</v>
      </c>
      <c r="AG5" s="11">
        <f t="shared" si="0"/>
        <v>297.156000000003</v>
      </c>
      <c r="AH5" s="11">
        <f t="shared" si="0"/>
        <v>84.5310000000027</v>
      </c>
      <c r="AI5" s="11">
        <f t="shared" si="0"/>
        <v>303.972999999998</v>
      </c>
      <c r="AJ5" s="11">
        <f t="shared" si="0"/>
        <v>541.078000000001</v>
      </c>
      <c r="AK5" s="11">
        <f t="shared" si="0"/>
        <v>290.940999999999</v>
      </c>
      <c r="AL5" s="11">
        <f t="shared" si="0"/>
        <v>323.358999999997</v>
      </c>
      <c r="AM5" s="11">
        <f t="shared" si="0"/>
        <v>743.008000000002</v>
      </c>
      <c r="AN5" s="11">
        <f t="shared" si="0"/>
        <v>789.233999999997</v>
      </c>
      <c r="AO5" s="11">
        <f t="shared" si="0"/>
        <v>300.862999999998</v>
      </c>
      <c r="AP5" s="11">
        <f t="shared" si="0"/>
        <v>222.086000000003</v>
      </c>
      <c r="AQ5" s="11">
        <f t="shared" si="0"/>
        <v>316.667999999998</v>
      </c>
      <c r="AR5" s="11">
        <f t="shared" si="0"/>
        <v>912.093999999997</v>
      </c>
      <c r="AS5" s="11">
        <f t="shared" si="0"/>
        <v>46.3589999999967</v>
      </c>
      <c r="AT5" s="11">
        <f t="shared" si="0"/>
        <v>124.675999999999</v>
      </c>
      <c r="AU5" s="11">
        <f t="shared" si="0"/>
        <v>519.398000000001</v>
      </c>
      <c r="AV5" s="11">
        <f t="shared" si="0"/>
        <v>12.1880000000019</v>
      </c>
      <c r="AW5" s="11">
        <f t="shared" si="0"/>
        <v>599.800999999999</v>
      </c>
      <c r="AX5" s="11">
        <f t="shared" si="0"/>
        <v>302.163999999997</v>
      </c>
      <c r="AY5" s="11">
        <f t="shared" si="0"/>
        <v>1853.977</v>
      </c>
      <c r="AZ5" s="11">
        <f t="shared" si="0"/>
        <v>149.355000000003</v>
      </c>
      <c r="BA5" s="11">
        <f t="shared" si="0"/>
        <v>73.9060000000027</v>
      </c>
      <c r="BB5" s="11">
        <f t="shared" si="0"/>
        <v>1208.621</v>
      </c>
      <c r="BC5" s="11">
        <f t="shared" si="0"/>
        <v>2515.539</v>
      </c>
      <c r="BD5" s="11">
        <f t="shared" si="0"/>
        <v>1006.348</v>
      </c>
      <c r="BE5" s="11">
        <f t="shared" si="0"/>
        <v>762.57</v>
      </c>
      <c r="BF5" s="11">
        <f t="shared" si="0"/>
        <v>1000.246</v>
      </c>
      <c r="BG5" s="11">
        <f t="shared" si="0"/>
        <v>294.879000000001</v>
      </c>
      <c r="BH5" s="11">
        <f t="shared" si="0"/>
        <v>1757.93</v>
      </c>
      <c r="BI5" s="11">
        <f t="shared" si="0"/>
        <v>261.839999999997</v>
      </c>
      <c r="BJ5" s="11">
        <f t="shared" si="0"/>
        <v>549.046999999999</v>
      </c>
      <c r="BK5" s="11">
        <f t="shared" si="0"/>
        <v>543.940999999999</v>
      </c>
      <c r="BL5" s="11">
        <f t="shared" si="0"/>
        <v>533.883000000002</v>
      </c>
      <c r="BM5" s="11">
        <f t="shared" si="0"/>
        <v>1460.516</v>
      </c>
      <c r="BN5" s="11">
        <f t="shared" ref="BN5:BU5" si="1">ABS(BN3-BN4)</f>
        <v>1412.078</v>
      </c>
      <c r="BO5" s="11">
        <f t="shared" si="1"/>
        <v>1453.918</v>
      </c>
      <c r="BP5" s="11">
        <f t="shared" si="1"/>
        <v>1001.82</v>
      </c>
      <c r="BQ5" s="11">
        <f t="shared" si="1"/>
        <v>451.660000000003</v>
      </c>
      <c r="BR5" s="11">
        <f t="shared" si="1"/>
        <v>64.625</v>
      </c>
      <c r="BS5" s="11">
        <f t="shared" si="1"/>
        <v>249.508000000002</v>
      </c>
      <c r="BT5" s="11">
        <f t="shared" si="1"/>
        <v>559.258000000002</v>
      </c>
      <c r="BU5" s="11">
        <f t="shared" si="1"/>
        <v>199.097999999998</v>
      </c>
      <c r="BV5" s="7">
        <f>AVERAGE(B5:BU5)</f>
        <v>585.528972222222</v>
      </c>
    </row>
    <row r="6" ht="16.5" customHeight="1" spans="1:74">
      <c r="A6" s="12" t="s">
        <v>6</v>
      </c>
      <c r="B6" s="13">
        <f t="shared" ref="B6:BM6" si="2">IF(B3=0,"-",ABS(B3-B4)/B3*100)</f>
        <v>1.54108523908524</v>
      </c>
      <c r="C6" s="13">
        <f t="shared" si="2"/>
        <v>1.50230561330561</v>
      </c>
      <c r="D6" s="13">
        <f t="shared" si="2"/>
        <v>1.18383609958506</v>
      </c>
      <c r="E6" s="13">
        <f t="shared" si="2"/>
        <v>0.661373195876295</v>
      </c>
      <c r="F6" s="13">
        <f t="shared" si="2"/>
        <v>0.957611570247927</v>
      </c>
      <c r="G6" s="13">
        <f t="shared" si="2"/>
        <v>0.0359279835391008</v>
      </c>
      <c r="H6" s="13">
        <f t="shared" si="2"/>
        <v>0.584885714285709</v>
      </c>
      <c r="I6" s="13">
        <f t="shared" si="2"/>
        <v>0.187738775510201</v>
      </c>
      <c r="J6" s="13">
        <f t="shared" si="2"/>
        <v>0.298277551020414</v>
      </c>
      <c r="K6" s="13">
        <f t="shared" si="2"/>
        <v>0.87869795918367</v>
      </c>
      <c r="L6" s="13">
        <f t="shared" si="2"/>
        <v>0.249791836734696</v>
      </c>
      <c r="M6" s="13">
        <f t="shared" si="2"/>
        <v>1.31551515151515</v>
      </c>
      <c r="N6" s="13">
        <f t="shared" si="2"/>
        <v>0.644546370967741</v>
      </c>
      <c r="O6" s="13">
        <f t="shared" si="2"/>
        <v>4.19528155339806</v>
      </c>
      <c r="P6" s="13">
        <f t="shared" si="2"/>
        <v>2.22930384615384</v>
      </c>
      <c r="Q6" s="13">
        <f t="shared" si="2"/>
        <v>0.0856873786407783</v>
      </c>
      <c r="R6" s="13">
        <f t="shared" si="2"/>
        <v>0.865176699029124</v>
      </c>
      <c r="S6" s="13">
        <f t="shared" si="2"/>
        <v>2.43804380952381</v>
      </c>
      <c r="T6" s="13">
        <f t="shared" si="2"/>
        <v>1.5471037735849</v>
      </c>
      <c r="U6" s="13">
        <f t="shared" si="2"/>
        <v>0.785671698113213</v>
      </c>
      <c r="V6" s="13">
        <f t="shared" si="2"/>
        <v>1.3272607879925</v>
      </c>
      <c r="W6" s="13">
        <f t="shared" si="2"/>
        <v>0.487814393939392</v>
      </c>
      <c r="X6" s="13">
        <f t="shared" si="2"/>
        <v>0.88964038461538</v>
      </c>
      <c r="Y6" s="13">
        <f t="shared" si="2"/>
        <v>0.193726923076918</v>
      </c>
      <c r="Z6" s="13">
        <f t="shared" si="2"/>
        <v>0.126742307692313</v>
      </c>
      <c r="AA6" s="13">
        <f t="shared" si="2"/>
        <v>0.335298076923083</v>
      </c>
      <c r="AB6" s="13">
        <f t="shared" si="2"/>
        <v>0.449129094412328</v>
      </c>
      <c r="AC6" s="13">
        <f t="shared" si="2"/>
        <v>0.689331395348837</v>
      </c>
      <c r="AD6" s="13">
        <f t="shared" si="2"/>
        <v>1.57804901960784</v>
      </c>
      <c r="AE6" s="13">
        <f t="shared" si="2"/>
        <v>1.62948712871288</v>
      </c>
      <c r="AF6" s="13">
        <f t="shared" si="2"/>
        <v>1.73646799999999</v>
      </c>
      <c r="AG6" s="13">
        <f t="shared" si="2"/>
        <v>0.594312000000005</v>
      </c>
      <c r="AH6" s="13">
        <f t="shared" si="2"/>
        <v>0.168053677932411</v>
      </c>
      <c r="AI6" s="13">
        <f t="shared" si="2"/>
        <v>0.601926732673264</v>
      </c>
      <c r="AJ6" s="13">
        <f t="shared" si="2"/>
        <v>1.07144158415842</v>
      </c>
      <c r="AK6" s="13">
        <f t="shared" si="2"/>
        <v>0.573848126232739</v>
      </c>
      <c r="AL6" s="13">
        <f t="shared" si="2"/>
        <v>0.636533464566923</v>
      </c>
      <c r="AM6" s="13">
        <f t="shared" si="2"/>
        <v>1.47130297029703</v>
      </c>
      <c r="AN6" s="13">
        <f t="shared" si="2"/>
        <v>1.57846799999999</v>
      </c>
      <c r="AO6" s="13">
        <f t="shared" si="2"/>
        <v>0.601725999999995</v>
      </c>
      <c r="AP6" s="13">
        <f t="shared" si="2"/>
        <v>0.444172000000006</v>
      </c>
      <c r="AQ6" s="13">
        <f t="shared" si="2"/>
        <v>0.635879518072285</v>
      </c>
      <c r="AR6" s="13">
        <f t="shared" si="2"/>
        <v>1.86141632653061</v>
      </c>
      <c r="AS6" s="13">
        <f t="shared" si="2"/>
        <v>0.094610204081626</v>
      </c>
      <c r="AT6" s="13">
        <f t="shared" si="2"/>
        <v>0.25444081632653</v>
      </c>
      <c r="AU6" s="13">
        <f t="shared" si="2"/>
        <v>1.04717338709678</v>
      </c>
      <c r="AV6" s="13">
        <f t="shared" si="2"/>
        <v>0.0245725806451652</v>
      </c>
      <c r="AW6" s="13">
        <f t="shared" si="2"/>
        <v>1.22408367346939</v>
      </c>
      <c r="AX6" s="13">
        <f t="shared" si="2"/>
        <v>0.621736625514397</v>
      </c>
      <c r="AY6" s="13">
        <f t="shared" si="2"/>
        <v>3.9699721627409</v>
      </c>
      <c r="AZ6" s="13">
        <f t="shared" si="2"/>
        <v>0.319134615384622</v>
      </c>
      <c r="BA6" s="13">
        <f t="shared" si="2"/>
        <v>0.157918803418809</v>
      </c>
      <c r="BB6" s="13">
        <f t="shared" si="2"/>
        <v>2.51796041666667</v>
      </c>
      <c r="BC6" s="13">
        <f t="shared" si="2"/>
        <v>4.9911488095238</v>
      </c>
      <c r="BD6" s="13">
        <f t="shared" si="2"/>
        <v>1.95787548638132</v>
      </c>
      <c r="BE6" s="13">
        <f t="shared" si="2"/>
        <v>1.46648076923077</v>
      </c>
      <c r="BF6" s="13">
        <f t="shared" si="2"/>
        <v>1.88725660377358</v>
      </c>
      <c r="BG6" s="13">
        <f t="shared" si="2"/>
        <v>0.552207865168541</v>
      </c>
      <c r="BH6" s="13">
        <f t="shared" si="2"/>
        <v>3.19043557168784</v>
      </c>
      <c r="BI6" s="13">
        <f t="shared" si="2"/>
        <v>0.47434782608695</v>
      </c>
      <c r="BJ6" s="13">
        <f t="shared" si="2"/>
        <v>1.00558058608058</v>
      </c>
      <c r="BK6" s="13">
        <f t="shared" si="2"/>
        <v>1.00729814814815</v>
      </c>
      <c r="BL6" s="13">
        <f t="shared" si="2"/>
        <v>0.981402573529415</v>
      </c>
      <c r="BM6" s="13">
        <f t="shared" si="2"/>
        <v>2.6268273381295</v>
      </c>
      <c r="BN6" s="13">
        <f t="shared" ref="BN6:BU6" si="3">IF(BN3=0,"-",ABS(BN3-BN4)/BN3*100)</f>
        <v>2.48168365553603</v>
      </c>
      <c r="BO6" s="13">
        <f t="shared" si="3"/>
        <v>2.49814089347079</v>
      </c>
      <c r="BP6" s="13">
        <f t="shared" si="3"/>
        <v>1.6951269035533</v>
      </c>
      <c r="BQ6" s="13">
        <f t="shared" si="3"/>
        <v>0.759092436974796</v>
      </c>
      <c r="BR6" s="13">
        <f t="shared" si="3"/>
        <v>0.108613445378151</v>
      </c>
      <c r="BS6" s="13">
        <f t="shared" si="3"/>
        <v>0.420755480607085</v>
      </c>
      <c r="BT6" s="13">
        <f t="shared" si="3"/>
        <v>0.95111904761905</v>
      </c>
      <c r="BU6" s="13">
        <f t="shared" si="3"/>
        <v>0.338602040816323</v>
      </c>
      <c r="BV6" s="14">
        <f>AVERAGEIF(B6:BU6,"&lt;&gt;-")</f>
        <v>1.13188178471009</v>
      </c>
    </row>
    <row r="7" ht="16.5" customHeight="1" spans="1:74">
      <c r="A7" s="15" t="s">
        <v>7</v>
      </c>
      <c r="B7" s="16">
        <f>100-B6</f>
        <v>98.4589147609148</v>
      </c>
      <c r="C7" s="16">
        <f t="shared" ref="C7:AH7" si="4">100-C6</f>
        <v>98.4976943866944</v>
      </c>
      <c r="D7" s="16">
        <f t="shared" si="4"/>
        <v>98.8161639004149</v>
      </c>
      <c r="E7" s="16">
        <f t="shared" si="4"/>
        <v>99.3386268041237</v>
      </c>
      <c r="F7" s="16">
        <f t="shared" si="4"/>
        <v>99.0423884297521</v>
      </c>
      <c r="G7" s="16">
        <f t="shared" si="4"/>
        <v>99.9640720164609</v>
      </c>
      <c r="H7" s="16">
        <f t="shared" si="4"/>
        <v>99.4151142857143</v>
      </c>
      <c r="I7" s="16">
        <f t="shared" si="4"/>
        <v>99.8122612244898</v>
      </c>
      <c r="J7" s="16">
        <f t="shared" si="4"/>
        <v>99.7017224489796</v>
      </c>
      <c r="K7" s="16">
        <f t="shared" si="4"/>
        <v>99.1213020408163</v>
      </c>
      <c r="L7" s="16">
        <f t="shared" si="4"/>
        <v>99.7502081632653</v>
      </c>
      <c r="M7" s="16">
        <f t="shared" si="4"/>
        <v>98.6844848484848</v>
      </c>
      <c r="N7" s="16">
        <f t="shared" si="4"/>
        <v>99.3554536290323</v>
      </c>
      <c r="O7" s="16">
        <f t="shared" si="4"/>
        <v>95.8047184466019</v>
      </c>
      <c r="P7" s="16">
        <f t="shared" si="4"/>
        <v>97.7706961538462</v>
      </c>
      <c r="Q7" s="16">
        <f t="shared" si="4"/>
        <v>99.9143126213592</v>
      </c>
      <c r="R7" s="16">
        <f t="shared" si="4"/>
        <v>99.1348233009709</v>
      </c>
      <c r="S7" s="16">
        <f t="shared" si="4"/>
        <v>97.5619561904762</v>
      </c>
      <c r="T7" s="16">
        <f t="shared" si="4"/>
        <v>98.4528962264151</v>
      </c>
      <c r="U7" s="16">
        <f t="shared" si="4"/>
        <v>99.2143283018868</v>
      </c>
      <c r="V7" s="16">
        <f t="shared" si="4"/>
        <v>98.6727392120075</v>
      </c>
      <c r="W7" s="16">
        <f t="shared" si="4"/>
        <v>99.5121856060606</v>
      </c>
      <c r="X7" s="16">
        <f t="shared" si="4"/>
        <v>99.1103596153846</v>
      </c>
      <c r="Y7" s="16">
        <f t="shared" si="4"/>
        <v>99.8062730769231</v>
      </c>
      <c r="Z7" s="16">
        <f t="shared" si="4"/>
        <v>99.8732576923077</v>
      </c>
      <c r="AA7" s="16">
        <f t="shared" si="4"/>
        <v>99.6647019230769</v>
      </c>
      <c r="AB7" s="16">
        <f t="shared" si="4"/>
        <v>99.5508709055877</v>
      </c>
      <c r="AC7" s="16">
        <f t="shared" si="4"/>
        <v>99.3106686046512</v>
      </c>
      <c r="AD7" s="16">
        <f t="shared" si="4"/>
        <v>98.4219509803922</v>
      </c>
      <c r="AE7" s="16">
        <f t="shared" si="4"/>
        <v>98.3705128712871</v>
      </c>
      <c r="AF7" s="16">
        <f t="shared" si="4"/>
        <v>98.263532</v>
      </c>
      <c r="AG7" s="16">
        <f t="shared" si="4"/>
        <v>99.405688</v>
      </c>
      <c r="AH7" s="16">
        <f t="shared" si="4"/>
        <v>99.8319463220676</v>
      </c>
      <c r="AI7" s="16">
        <f t="shared" ref="AI7:BN7" si="5">100-AI6</f>
        <v>99.3980732673267</v>
      </c>
      <c r="AJ7" s="16">
        <f t="shared" si="5"/>
        <v>98.9285584158416</v>
      </c>
      <c r="AK7" s="16">
        <f t="shared" si="5"/>
        <v>99.4261518737673</v>
      </c>
      <c r="AL7" s="16">
        <f t="shared" si="5"/>
        <v>99.3634665354331</v>
      </c>
      <c r="AM7" s="16">
        <f t="shared" si="5"/>
        <v>98.528697029703</v>
      </c>
      <c r="AN7" s="16">
        <f t="shared" si="5"/>
        <v>98.421532</v>
      </c>
      <c r="AO7" s="16">
        <f t="shared" si="5"/>
        <v>99.398274</v>
      </c>
      <c r="AP7" s="16">
        <f t="shared" si="5"/>
        <v>99.555828</v>
      </c>
      <c r="AQ7" s="16">
        <f t="shared" si="5"/>
        <v>99.3641204819277</v>
      </c>
      <c r="AR7" s="16">
        <f t="shared" si="5"/>
        <v>98.1385836734694</v>
      </c>
      <c r="AS7" s="16">
        <f t="shared" si="5"/>
        <v>99.9053897959184</v>
      </c>
      <c r="AT7" s="16">
        <f t="shared" si="5"/>
        <v>99.7455591836735</v>
      </c>
      <c r="AU7" s="16">
        <f t="shared" si="5"/>
        <v>98.9528266129032</v>
      </c>
      <c r="AV7" s="16">
        <f t="shared" si="5"/>
        <v>99.9754274193548</v>
      </c>
      <c r="AW7" s="16">
        <f t="shared" si="5"/>
        <v>98.7759163265306</v>
      </c>
      <c r="AX7" s="16">
        <f t="shared" si="5"/>
        <v>99.3782633744856</v>
      </c>
      <c r="AY7" s="16">
        <f t="shared" si="5"/>
        <v>96.0300278372591</v>
      </c>
      <c r="AZ7" s="16">
        <f t="shared" si="5"/>
        <v>99.6808653846154</v>
      </c>
      <c r="BA7" s="16">
        <f t="shared" si="5"/>
        <v>99.8420811965812</v>
      </c>
      <c r="BB7" s="16">
        <f t="shared" si="5"/>
        <v>97.4820395833333</v>
      </c>
      <c r="BC7" s="16">
        <f t="shared" si="5"/>
        <v>95.0088511904762</v>
      </c>
      <c r="BD7" s="16">
        <f t="shared" si="5"/>
        <v>98.0421245136187</v>
      </c>
      <c r="BE7" s="16">
        <f t="shared" si="5"/>
        <v>98.5335192307692</v>
      </c>
      <c r="BF7" s="16">
        <f t="shared" si="5"/>
        <v>98.1127433962264</v>
      </c>
      <c r="BG7" s="16">
        <f t="shared" si="5"/>
        <v>99.4477921348315</v>
      </c>
      <c r="BH7" s="16">
        <f t="shared" si="5"/>
        <v>96.8095644283122</v>
      </c>
      <c r="BI7" s="16">
        <f t="shared" si="5"/>
        <v>99.525652173913</v>
      </c>
      <c r="BJ7" s="16">
        <f t="shared" si="5"/>
        <v>98.9944194139194</v>
      </c>
      <c r="BK7" s="16">
        <f t="shared" si="5"/>
        <v>98.9927018518518</v>
      </c>
      <c r="BL7" s="16">
        <f t="shared" si="5"/>
        <v>99.0185974264706</v>
      </c>
      <c r="BM7" s="16">
        <f t="shared" si="5"/>
        <v>97.3731726618705</v>
      </c>
      <c r="BN7" s="16">
        <f t="shared" si="5"/>
        <v>97.518316344464</v>
      </c>
      <c r="BO7" s="16">
        <f>100-BO6</f>
        <v>97.5018591065292</v>
      </c>
      <c r="BP7" s="16">
        <f>100-BP6</f>
        <v>98.3048730964467</v>
      </c>
      <c r="BQ7" s="16">
        <f>100-BQ6</f>
        <v>99.2409075630252</v>
      </c>
      <c r="BR7" s="16">
        <f>100-BR6</f>
        <v>99.8913865546218</v>
      </c>
      <c r="BS7" s="16">
        <f>100-BS6</f>
        <v>99.5792445193929</v>
      </c>
      <c r="BT7" s="16">
        <f>100-BT6</f>
        <v>99.048880952381</v>
      </c>
      <c r="BU7" s="16">
        <f>100-BU6</f>
        <v>99.6613979591837</v>
      </c>
      <c r="BV7" s="14">
        <f>AVERAGEIF(B7:BU7,"&lt;&gt;-")</f>
        <v>98.8681182152899</v>
      </c>
    </row>
    <row r="8" ht="16.5" customHeight="1" spans="1:74">
      <c r="A8" s="15" t="s">
        <v>8</v>
      </c>
      <c r="B8" s="16" t="s">
        <v>9</v>
      </c>
      <c r="C8" s="17">
        <f t="shared" ref="C8:BN8" si="6">IF(AND(ABS(C3-B3)&lt;500,ABS(C4-B3)&lt;500),100,IF(AND(ABS(C3-B3)&lt;500,ABS(C4-B3)&gt;=500),0,IF((C3-B3)*(C4-B3)&gt;0,100,0)))</f>
        <v>0</v>
      </c>
      <c r="D8" s="17">
        <f t="shared" si="6"/>
        <v>0</v>
      </c>
      <c r="E8" s="17">
        <f t="shared" si="6"/>
        <v>0</v>
      </c>
      <c r="F8" s="17">
        <f t="shared" si="6"/>
        <v>100</v>
      </c>
      <c r="G8" s="17">
        <f t="shared" si="6"/>
        <v>100</v>
      </c>
      <c r="H8" s="17">
        <f t="shared" si="6"/>
        <v>100</v>
      </c>
      <c r="I8" s="17">
        <f t="shared" si="6"/>
        <v>100</v>
      </c>
      <c r="J8" s="17">
        <f t="shared" si="6"/>
        <v>100</v>
      </c>
      <c r="K8" s="17">
        <f t="shared" si="6"/>
        <v>100</v>
      </c>
      <c r="L8" s="17">
        <f t="shared" si="6"/>
        <v>100</v>
      </c>
      <c r="M8" s="17">
        <f t="shared" si="6"/>
        <v>0</v>
      </c>
      <c r="N8" s="17">
        <f t="shared" si="6"/>
        <v>100</v>
      </c>
      <c r="O8" s="17">
        <f t="shared" si="6"/>
        <v>0</v>
      </c>
      <c r="P8" s="17">
        <f t="shared" si="6"/>
        <v>0</v>
      </c>
      <c r="Q8" s="17">
        <f t="shared" si="6"/>
        <v>100</v>
      </c>
      <c r="R8" s="17">
        <f t="shared" si="6"/>
        <v>100</v>
      </c>
      <c r="S8" s="17">
        <f t="shared" si="6"/>
        <v>0</v>
      </c>
      <c r="T8" s="17">
        <f t="shared" si="6"/>
        <v>0</v>
      </c>
      <c r="U8" s="17">
        <f t="shared" si="6"/>
        <v>100</v>
      </c>
      <c r="V8" s="17">
        <f t="shared" si="6"/>
        <v>100</v>
      </c>
      <c r="W8" s="17">
        <f t="shared" si="6"/>
        <v>100</v>
      </c>
      <c r="X8" s="17">
        <f t="shared" si="6"/>
        <v>100</v>
      </c>
      <c r="Y8" s="17">
        <f t="shared" si="6"/>
        <v>100</v>
      </c>
      <c r="Z8" s="17">
        <f t="shared" si="6"/>
        <v>100</v>
      </c>
      <c r="AA8" s="17">
        <f t="shared" si="6"/>
        <v>100</v>
      </c>
      <c r="AB8" s="17">
        <f t="shared" si="6"/>
        <v>100</v>
      </c>
      <c r="AC8" s="17">
        <f t="shared" si="6"/>
        <v>100</v>
      </c>
      <c r="AD8" s="17">
        <f t="shared" si="6"/>
        <v>0</v>
      </c>
      <c r="AE8" s="17">
        <f t="shared" si="6"/>
        <v>0</v>
      </c>
      <c r="AF8" s="17">
        <f t="shared" si="6"/>
        <v>0</v>
      </c>
      <c r="AG8" s="17">
        <f t="shared" si="6"/>
        <v>100</v>
      </c>
      <c r="AH8" s="17">
        <f t="shared" si="6"/>
        <v>100</v>
      </c>
      <c r="AI8" s="17">
        <f t="shared" si="6"/>
        <v>0</v>
      </c>
      <c r="AJ8" s="17">
        <f t="shared" si="6"/>
        <v>0</v>
      </c>
      <c r="AK8" s="17">
        <f t="shared" si="6"/>
        <v>100</v>
      </c>
      <c r="AL8" s="17">
        <f t="shared" si="6"/>
        <v>100</v>
      </c>
      <c r="AM8" s="17">
        <f t="shared" si="6"/>
        <v>100</v>
      </c>
      <c r="AN8" s="17">
        <f t="shared" si="6"/>
        <v>0</v>
      </c>
      <c r="AO8" s="17">
        <f t="shared" si="6"/>
        <v>100</v>
      </c>
      <c r="AP8" s="17">
        <f t="shared" si="6"/>
        <v>100</v>
      </c>
      <c r="AQ8" s="17">
        <f t="shared" si="6"/>
        <v>100</v>
      </c>
      <c r="AR8" s="17">
        <f t="shared" si="6"/>
        <v>0</v>
      </c>
      <c r="AS8" s="17">
        <f t="shared" si="6"/>
        <v>100</v>
      </c>
      <c r="AT8" s="17">
        <f t="shared" si="6"/>
        <v>100</v>
      </c>
      <c r="AU8" s="17">
        <f t="shared" si="6"/>
        <v>100</v>
      </c>
      <c r="AV8" s="17">
        <f t="shared" si="6"/>
        <v>100</v>
      </c>
      <c r="AW8" s="17">
        <f t="shared" si="6"/>
        <v>100</v>
      </c>
      <c r="AX8" s="17">
        <f t="shared" si="6"/>
        <v>100</v>
      </c>
      <c r="AY8" s="17">
        <f t="shared" si="6"/>
        <v>100</v>
      </c>
      <c r="AZ8" s="17">
        <f t="shared" si="6"/>
        <v>100</v>
      </c>
      <c r="BA8" s="17">
        <f t="shared" si="6"/>
        <v>100</v>
      </c>
      <c r="BB8" s="17">
        <f t="shared" si="6"/>
        <v>0</v>
      </c>
      <c r="BC8" s="17">
        <f t="shared" si="6"/>
        <v>0</v>
      </c>
      <c r="BD8" s="17">
        <f t="shared" si="6"/>
        <v>0</v>
      </c>
      <c r="BE8" s="17">
        <f t="shared" si="6"/>
        <v>0</v>
      </c>
      <c r="BF8" s="17">
        <f t="shared" si="6"/>
        <v>0</v>
      </c>
      <c r="BG8" s="17">
        <f t="shared" si="6"/>
        <v>100</v>
      </c>
      <c r="BH8" s="17">
        <f t="shared" si="6"/>
        <v>0</v>
      </c>
      <c r="BI8" s="17">
        <f t="shared" si="6"/>
        <v>100</v>
      </c>
      <c r="BJ8" s="17">
        <f t="shared" si="6"/>
        <v>100</v>
      </c>
      <c r="BK8" s="17">
        <f t="shared" si="6"/>
        <v>100</v>
      </c>
      <c r="BL8" s="17">
        <f t="shared" si="6"/>
        <v>100</v>
      </c>
      <c r="BM8" s="17">
        <f t="shared" si="6"/>
        <v>0</v>
      </c>
      <c r="BN8" s="17">
        <f t="shared" si="6"/>
        <v>0</v>
      </c>
      <c r="BO8" s="17">
        <f t="shared" ref="BO8:BU8" si="7">IF(AND(ABS(BO3-BN3)&lt;500,ABS(BO4-BN3)&lt;500),100,IF(AND(ABS(BO3-BN3)&lt;500,ABS(BO4-BN3)&gt;=500),0,IF((BO3-BN3)*(BO4-BN3)&gt;0,100,0)))</f>
        <v>0</v>
      </c>
      <c r="BP8" s="17">
        <f t="shared" si="7"/>
        <v>0</v>
      </c>
      <c r="BQ8" s="17">
        <f t="shared" si="7"/>
        <v>100</v>
      </c>
      <c r="BR8" s="17">
        <f t="shared" si="7"/>
        <v>100</v>
      </c>
      <c r="BS8" s="17">
        <f t="shared" si="7"/>
        <v>100</v>
      </c>
      <c r="BT8" s="17">
        <f t="shared" si="7"/>
        <v>0</v>
      </c>
      <c r="BU8" s="17">
        <f t="shared" si="7"/>
        <v>100</v>
      </c>
      <c r="BV8" s="14">
        <f>AVERAGEIF(B8:BU8,"&lt;&gt;N/A")</f>
        <v>63.3802816901408</v>
      </c>
    </row>
    <row r="9" ht="16.5" customHeight="1" spans="1:74">
      <c r="A9" s="18" t="s">
        <v>10</v>
      </c>
      <c r="B9" s="19" t="s">
        <v>9</v>
      </c>
      <c r="C9" s="20" t="str">
        <f t="shared" ref="C9:BN9" si="8">IF((C4-B3)&gt;=500,IF(ABS((C3-B3))&lt;500,"N/A",IF((C3-B3)&lt;0,-ABS((C3-B3)/(C4-B3))*100,MIN(100,ABS((C3-B3)/(C4-B3))*100))),IF((C4-B3)&lt;=-500,IF(ABS((C3-B3))&lt;500,"N/A",IF((C3-B3)&gt;0,-ABS((C3-B3)/(C4-B3))*100,MIN(100,ABS((C3-B3)/(C4-B3))*100))),IF(ABS((C3-B3))&lt;500,100,MIN(100,500/ABS((C3-B3))*100))))</f>
        <v>N/A</v>
      </c>
      <c r="D9" s="20" t="str">
        <f t="shared" si="8"/>
        <v>N/A</v>
      </c>
      <c r="E9" s="20" t="str">
        <f t="shared" si="8"/>
        <v>N/A</v>
      </c>
      <c r="F9" s="20">
        <f t="shared" si="8"/>
        <v>100</v>
      </c>
      <c r="G9" s="20">
        <f t="shared" si="8"/>
        <v>100</v>
      </c>
      <c r="H9" s="20">
        <f t="shared" si="8"/>
        <v>100</v>
      </c>
      <c r="I9" s="20">
        <f t="shared" si="8"/>
        <v>100</v>
      </c>
      <c r="J9" s="20">
        <f t="shared" si="8"/>
        <v>100</v>
      </c>
      <c r="K9" s="20">
        <f t="shared" si="8"/>
        <v>100</v>
      </c>
      <c r="L9" s="20">
        <f t="shared" si="8"/>
        <v>100</v>
      </c>
      <c r="M9" s="20">
        <f t="shared" si="8"/>
        <v>100</v>
      </c>
      <c r="N9" s="20">
        <f t="shared" si="8"/>
        <v>100</v>
      </c>
      <c r="O9" s="20">
        <f t="shared" si="8"/>
        <v>26.3157894736842</v>
      </c>
      <c r="P9" s="20">
        <f t="shared" si="8"/>
        <v>-75.8451424220087</v>
      </c>
      <c r="Q9" s="20">
        <f t="shared" si="8"/>
        <v>100</v>
      </c>
      <c r="R9" s="20">
        <f t="shared" si="8"/>
        <v>100</v>
      </c>
      <c r="S9" s="20">
        <f t="shared" si="8"/>
        <v>50</v>
      </c>
      <c r="T9" s="20">
        <f t="shared" si="8"/>
        <v>100</v>
      </c>
      <c r="U9" s="20">
        <f t="shared" si="8"/>
        <v>100</v>
      </c>
      <c r="V9" s="20">
        <f t="shared" si="8"/>
        <v>100</v>
      </c>
      <c r="W9" s="20">
        <f t="shared" si="8"/>
        <v>100</v>
      </c>
      <c r="X9" s="20">
        <f t="shared" si="8"/>
        <v>62.5</v>
      </c>
      <c r="Y9" s="20">
        <f t="shared" si="8"/>
        <v>100</v>
      </c>
      <c r="Z9" s="20">
        <f t="shared" si="8"/>
        <v>100</v>
      </c>
      <c r="AA9" s="20">
        <f t="shared" si="8"/>
        <v>100</v>
      </c>
      <c r="AB9" s="20">
        <f t="shared" si="8"/>
        <v>100</v>
      </c>
      <c r="AC9" s="20">
        <f t="shared" si="8"/>
        <v>100</v>
      </c>
      <c r="AD9" s="20">
        <f t="shared" si="8"/>
        <v>83.3333333333333</v>
      </c>
      <c r="AE9" s="20">
        <f t="shared" si="8"/>
        <v>100</v>
      </c>
      <c r="AF9" s="20">
        <f t="shared" si="8"/>
        <v>100</v>
      </c>
      <c r="AG9" s="20">
        <f t="shared" si="8"/>
        <v>100</v>
      </c>
      <c r="AH9" s="20">
        <f t="shared" si="8"/>
        <v>100</v>
      </c>
      <c r="AI9" s="20" t="str">
        <f t="shared" si="8"/>
        <v>N/A</v>
      </c>
      <c r="AJ9" s="20" t="str">
        <f t="shared" si="8"/>
        <v>N/A</v>
      </c>
      <c r="AK9" s="20">
        <f t="shared" si="8"/>
        <v>100</v>
      </c>
      <c r="AL9" s="20">
        <f t="shared" si="8"/>
        <v>100</v>
      </c>
      <c r="AM9" s="20">
        <f t="shared" si="8"/>
        <v>100</v>
      </c>
      <c r="AN9" s="20">
        <f t="shared" si="8"/>
        <v>100</v>
      </c>
      <c r="AO9" s="20">
        <f t="shared" si="8"/>
        <v>100</v>
      </c>
      <c r="AP9" s="20">
        <f t="shared" si="8"/>
        <v>100</v>
      </c>
      <c r="AQ9" s="20">
        <f t="shared" si="8"/>
        <v>100</v>
      </c>
      <c r="AR9" s="20">
        <f t="shared" si="8"/>
        <v>62.5</v>
      </c>
      <c r="AS9" s="20">
        <f t="shared" si="8"/>
        <v>100</v>
      </c>
      <c r="AT9" s="20">
        <f t="shared" si="8"/>
        <v>100</v>
      </c>
      <c r="AU9" s="20">
        <f t="shared" si="8"/>
        <v>83.3333333333333</v>
      </c>
      <c r="AV9" s="20">
        <f t="shared" si="8"/>
        <v>100</v>
      </c>
      <c r="AW9" s="20">
        <f t="shared" si="8"/>
        <v>83.3333333333333</v>
      </c>
      <c r="AX9" s="20">
        <f t="shared" si="8"/>
        <v>100</v>
      </c>
      <c r="AY9" s="20">
        <f t="shared" si="8"/>
        <v>26.3157894736842</v>
      </c>
      <c r="AZ9" s="20">
        <f t="shared" si="8"/>
        <v>100</v>
      </c>
      <c r="BA9" s="20">
        <f t="shared" si="8"/>
        <v>100</v>
      </c>
      <c r="BB9" s="20">
        <f t="shared" si="8"/>
        <v>41.6666666666667</v>
      </c>
      <c r="BC9" s="20">
        <f t="shared" si="8"/>
        <v>20.8333333333333</v>
      </c>
      <c r="BD9" s="20">
        <f t="shared" si="8"/>
        <v>50</v>
      </c>
      <c r="BE9" s="20">
        <f t="shared" si="8"/>
        <v>83.3333333333333</v>
      </c>
      <c r="BF9" s="20">
        <f t="shared" si="8"/>
        <v>50</v>
      </c>
      <c r="BG9" s="20">
        <f t="shared" si="8"/>
        <v>100</v>
      </c>
      <c r="BH9" s="20">
        <f t="shared" si="8"/>
        <v>29.4117647058824</v>
      </c>
      <c r="BI9" s="20">
        <f t="shared" si="8"/>
        <v>100</v>
      </c>
      <c r="BJ9" s="20">
        <f t="shared" si="8"/>
        <v>83.3333333333333</v>
      </c>
      <c r="BK9" s="20">
        <f t="shared" si="8"/>
        <v>83.3333333333333</v>
      </c>
      <c r="BL9" s="20">
        <f t="shared" si="8"/>
        <v>100</v>
      </c>
      <c r="BM9" s="20">
        <f t="shared" si="8"/>
        <v>41.6666666666667</v>
      </c>
      <c r="BN9" s="20">
        <f t="shared" si="8"/>
        <v>38.4615384615385</v>
      </c>
      <c r="BO9" s="20">
        <f t="shared" ref="BO9:BU9" si="9">IF((BO4-BN3)&gt;=500,IF(ABS((BO3-BN3))&lt;500,"N/A",IF((BO3-BN3)&lt;0,-ABS((BO3-BN3)/(BO4-BN3))*100,MIN(100,ABS((BO3-BN3)/(BO4-BN3))*100))),IF((BO4-BN3)&lt;=-500,IF(ABS((BO3-BN3))&lt;500,"N/A",IF((BO3-BN3)&gt;0,-ABS((BO3-BN3)/(BO4-BN3))*100,MIN(100,ABS((BO3-BN3)/(BO4-BN3))*100))),IF(ABS((BO3-BN3))&lt;500,100,MIN(100,500/ABS((BO3-BN3))*100))))</f>
        <v>38.4615384615385</v>
      </c>
      <c r="BP9" s="20">
        <f t="shared" si="9"/>
        <v>55.5555555555556</v>
      </c>
      <c r="BQ9" s="20">
        <f t="shared" si="9"/>
        <v>100</v>
      </c>
      <c r="BR9" s="20">
        <f t="shared" si="9"/>
        <v>100</v>
      </c>
      <c r="BS9" s="20">
        <f t="shared" si="9"/>
        <v>100</v>
      </c>
      <c r="BT9" s="20">
        <f t="shared" si="9"/>
        <v>100</v>
      </c>
      <c r="BU9" s="20">
        <f t="shared" si="9"/>
        <v>100</v>
      </c>
      <c r="BV9" s="14">
        <f>IFERROR(AVERAGEIF(B9:BU9,"&lt;&gt;N/A"),"-")</f>
        <v>83.6036893996445</v>
      </c>
    </row>
  </sheetData>
  <mergeCells count="1">
    <mergeCell ref="A1:BV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9"/>
  <sheetViews>
    <sheetView workbookViewId="0">
      <pane xSplit="1" ySplit="2" topLeftCell="BK3" activePane="bottomRight" state="frozen"/>
      <selection/>
      <selection pane="topRight"/>
      <selection pane="bottomLeft"/>
      <selection pane="bottomRight" activeCell="BX7" sqref="BX7"/>
    </sheetView>
  </sheetViews>
  <sheetFormatPr defaultColWidth="8.67592592592593" defaultRowHeight="14.4"/>
  <cols>
    <col min="1" max="1" width="22" customWidth="1"/>
    <col min="2" max="74" width="12" customWidth="1"/>
  </cols>
  <sheetData>
    <row r="1" ht="19.5" customHeight="1" spans="1:74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19.5" customHeight="1" spans="1:74">
      <c r="A2" s="2" t="s">
        <v>1</v>
      </c>
      <c r="B2" s="3">
        <v>45655</v>
      </c>
      <c r="C2" s="3">
        <v>45662</v>
      </c>
      <c r="D2" s="3">
        <v>45669</v>
      </c>
      <c r="E2" s="3">
        <v>45676</v>
      </c>
      <c r="F2" s="3">
        <v>45683</v>
      </c>
      <c r="G2" s="3">
        <v>45690</v>
      </c>
      <c r="H2" s="3">
        <v>45697</v>
      </c>
      <c r="I2" s="3">
        <v>45704</v>
      </c>
      <c r="J2" s="3">
        <v>45711</v>
      </c>
      <c r="K2" s="3">
        <v>45718</v>
      </c>
      <c r="L2" s="3">
        <v>45725</v>
      </c>
      <c r="M2" s="3">
        <v>45732</v>
      </c>
      <c r="N2" s="3">
        <v>45739</v>
      </c>
      <c r="O2" s="3">
        <v>45746</v>
      </c>
      <c r="P2" s="3">
        <v>45753</v>
      </c>
      <c r="Q2" s="3">
        <v>45760</v>
      </c>
      <c r="R2" s="3">
        <v>45767</v>
      </c>
      <c r="S2" s="3">
        <v>45774</v>
      </c>
      <c r="T2" s="3">
        <v>45781</v>
      </c>
      <c r="U2" s="3">
        <v>45788</v>
      </c>
      <c r="V2" s="3">
        <v>45795</v>
      </c>
      <c r="W2" s="3">
        <v>45802</v>
      </c>
      <c r="X2" s="3">
        <v>45809</v>
      </c>
      <c r="Y2" s="3">
        <v>45816</v>
      </c>
      <c r="Z2" s="3">
        <v>45823</v>
      </c>
      <c r="AA2" s="3">
        <v>45830</v>
      </c>
      <c r="AB2" s="3">
        <v>45837</v>
      </c>
      <c r="AC2" s="3">
        <v>45844</v>
      </c>
      <c r="AD2" s="3">
        <v>45851</v>
      </c>
      <c r="AE2" s="3">
        <v>45858</v>
      </c>
      <c r="AF2" s="3">
        <v>45865</v>
      </c>
      <c r="AG2" s="3">
        <v>45872</v>
      </c>
      <c r="AH2" s="3">
        <v>45879</v>
      </c>
      <c r="AI2" s="3">
        <v>45886</v>
      </c>
      <c r="AJ2" s="3">
        <v>45893</v>
      </c>
      <c r="AK2" s="3">
        <v>45900</v>
      </c>
      <c r="AL2" s="3">
        <v>45907</v>
      </c>
      <c r="AM2" s="3">
        <v>45914</v>
      </c>
      <c r="AN2" s="3">
        <v>45921</v>
      </c>
      <c r="AO2" s="3">
        <v>45928</v>
      </c>
      <c r="AP2" s="3">
        <v>45935</v>
      </c>
      <c r="AQ2" s="3">
        <v>45942</v>
      </c>
      <c r="AR2" s="3">
        <v>45949</v>
      </c>
      <c r="AS2" s="3">
        <v>45956</v>
      </c>
      <c r="AT2" s="3">
        <v>45963</v>
      </c>
      <c r="AU2" s="3">
        <v>45970</v>
      </c>
      <c r="AV2" s="3">
        <v>45977</v>
      </c>
      <c r="AW2" s="3">
        <v>45984</v>
      </c>
      <c r="AX2" s="3">
        <v>45991</v>
      </c>
      <c r="AY2" s="3">
        <v>45998</v>
      </c>
      <c r="AZ2" s="3">
        <v>46005</v>
      </c>
      <c r="BA2" s="3">
        <v>46012</v>
      </c>
      <c r="BB2" s="3">
        <v>46019</v>
      </c>
      <c r="BC2" s="3">
        <v>46026</v>
      </c>
      <c r="BD2" s="3">
        <v>46033</v>
      </c>
      <c r="BE2" s="3">
        <v>46040</v>
      </c>
      <c r="BF2" s="3">
        <v>46047</v>
      </c>
      <c r="BG2" s="3">
        <v>46054</v>
      </c>
      <c r="BH2" s="3">
        <v>46061</v>
      </c>
      <c r="BI2" s="3">
        <v>46068</v>
      </c>
      <c r="BJ2" s="3">
        <v>46075</v>
      </c>
      <c r="BK2" s="3">
        <v>46082</v>
      </c>
      <c r="BL2" s="3">
        <v>46089</v>
      </c>
      <c r="BM2" s="3">
        <v>46096</v>
      </c>
      <c r="BN2" s="3">
        <v>46103</v>
      </c>
      <c r="BO2" s="3">
        <v>46110</v>
      </c>
      <c r="BP2" s="3">
        <v>46117</v>
      </c>
      <c r="BQ2" s="3">
        <v>46124</v>
      </c>
      <c r="BR2" s="3">
        <v>46131</v>
      </c>
      <c r="BS2" s="3">
        <v>46138</v>
      </c>
      <c r="BT2" s="3">
        <v>46145</v>
      </c>
      <c r="BU2" s="3">
        <v>46152</v>
      </c>
      <c r="BV2" s="4" t="s">
        <v>2</v>
      </c>
    </row>
    <row r="3" ht="16.5" customHeight="1" spans="1:74">
      <c r="A3" s="5" t="s">
        <v>3</v>
      </c>
      <c r="B3" s="6">
        <v>46700</v>
      </c>
      <c r="C3" s="6">
        <v>46600</v>
      </c>
      <c r="D3" s="6">
        <v>46600</v>
      </c>
      <c r="E3" s="6">
        <v>46500</v>
      </c>
      <c r="F3" s="6">
        <v>47000</v>
      </c>
      <c r="G3" s="6">
        <v>48300</v>
      </c>
      <c r="H3" s="6">
        <v>48600</v>
      </c>
      <c r="I3" s="6">
        <v>48500</v>
      </c>
      <c r="J3" s="6">
        <v>48350</v>
      </c>
      <c r="K3" s="6">
        <v>48200</v>
      </c>
      <c r="L3" s="6">
        <v>48750</v>
      </c>
      <c r="M3" s="6">
        <v>49600</v>
      </c>
      <c r="N3" s="6">
        <v>50650</v>
      </c>
      <c r="O3" s="6">
        <v>52000</v>
      </c>
      <c r="P3" s="6">
        <v>52350</v>
      </c>
      <c r="Q3" s="6">
        <v>51900</v>
      </c>
      <c r="R3" s="6">
        <v>51400</v>
      </c>
      <c r="S3" s="6">
        <v>52050</v>
      </c>
      <c r="T3" s="6">
        <v>52850</v>
      </c>
      <c r="U3" s="6">
        <v>52500</v>
      </c>
      <c r="V3" s="6">
        <v>51950</v>
      </c>
      <c r="W3" s="6">
        <v>51850</v>
      </c>
      <c r="X3" s="6">
        <v>51450</v>
      </c>
      <c r="Y3" s="6">
        <v>51400</v>
      </c>
      <c r="Z3" s="6">
        <v>51200</v>
      </c>
      <c r="AA3" s="6">
        <v>50850</v>
      </c>
      <c r="AB3" s="6">
        <v>50750</v>
      </c>
      <c r="AC3" s="6">
        <v>50400</v>
      </c>
      <c r="AD3" s="6">
        <v>49700</v>
      </c>
      <c r="AE3" s="6">
        <v>49200</v>
      </c>
      <c r="AF3" s="6">
        <v>48750</v>
      </c>
      <c r="AG3" s="6">
        <v>49200</v>
      </c>
      <c r="AH3" s="6">
        <v>50200</v>
      </c>
      <c r="AI3" s="6">
        <v>50000</v>
      </c>
      <c r="AJ3" s="6">
        <v>49875</v>
      </c>
      <c r="AK3" s="6">
        <v>49600</v>
      </c>
      <c r="AL3" s="6">
        <v>49500</v>
      </c>
      <c r="AM3" s="6">
        <v>49350</v>
      </c>
      <c r="AN3" s="6">
        <v>49150</v>
      </c>
      <c r="AO3" s="6">
        <v>48900</v>
      </c>
      <c r="AP3" s="6">
        <v>48500</v>
      </c>
      <c r="AQ3" s="6">
        <v>48300</v>
      </c>
      <c r="AR3" s="6">
        <v>47850</v>
      </c>
      <c r="AS3" s="6">
        <v>47850</v>
      </c>
      <c r="AT3" s="6">
        <v>47200</v>
      </c>
      <c r="AU3" s="6">
        <v>47450</v>
      </c>
      <c r="AV3" s="6">
        <v>47000</v>
      </c>
      <c r="AW3" s="6">
        <v>46450</v>
      </c>
      <c r="AX3" s="6">
        <v>46100</v>
      </c>
      <c r="AY3" s="6">
        <v>45750</v>
      </c>
      <c r="AZ3" s="6">
        <v>45850</v>
      </c>
      <c r="BA3" s="6">
        <v>46800</v>
      </c>
      <c r="BB3" s="6">
        <v>48650</v>
      </c>
      <c r="BC3" s="6">
        <v>51000</v>
      </c>
      <c r="BD3" s="6">
        <v>50900</v>
      </c>
      <c r="BE3" s="6">
        <v>51850</v>
      </c>
      <c r="BF3" s="6">
        <v>52450</v>
      </c>
      <c r="BG3" s="6">
        <v>53250</v>
      </c>
      <c r="BH3" s="6">
        <v>53850</v>
      </c>
      <c r="BI3" s="6">
        <v>53650</v>
      </c>
      <c r="BJ3" s="6">
        <v>53650</v>
      </c>
      <c r="BK3" s="6">
        <v>53850</v>
      </c>
      <c r="BL3" s="6">
        <v>54750</v>
      </c>
      <c r="BM3" s="6">
        <v>55900</v>
      </c>
      <c r="BN3" s="6">
        <v>56650</v>
      </c>
      <c r="BO3" s="6">
        <v>57700</v>
      </c>
      <c r="BP3" s="6">
        <v>59600</v>
      </c>
      <c r="BQ3" s="6">
        <v>59600</v>
      </c>
      <c r="BR3" s="6">
        <v>59200</v>
      </c>
      <c r="BS3" s="6">
        <v>58650</v>
      </c>
      <c r="BT3" s="6">
        <v>57850</v>
      </c>
      <c r="BU3" s="6">
        <v>58200</v>
      </c>
      <c r="BV3" s="7"/>
    </row>
    <row r="4" ht="16.5" customHeight="1" spans="1:74">
      <c r="A4" s="8" t="s">
        <v>4</v>
      </c>
      <c r="B4" s="9">
        <v>47033.203</v>
      </c>
      <c r="C4" s="9">
        <v>47350.887</v>
      </c>
      <c r="D4" s="9">
        <v>47611.039</v>
      </c>
      <c r="E4" s="9">
        <v>47388.93</v>
      </c>
      <c r="F4" s="9">
        <v>47069.629</v>
      </c>
      <c r="G4" s="9">
        <v>47181.508</v>
      </c>
      <c r="H4" s="9">
        <v>48326.914</v>
      </c>
      <c r="I4" s="9">
        <v>48240.965</v>
      </c>
      <c r="J4" s="9">
        <v>48168.738</v>
      </c>
      <c r="K4" s="9">
        <v>48114.977</v>
      </c>
      <c r="L4" s="9">
        <v>47950.52</v>
      </c>
      <c r="M4" s="9">
        <v>48530.395</v>
      </c>
      <c r="N4" s="9">
        <v>49428.195</v>
      </c>
      <c r="O4" s="9">
        <v>50377.402</v>
      </c>
      <c r="P4" s="9">
        <v>51748.172</v>
      </c>
      <c r="Q4" s="9">
        <v>51992.555</v>
      </c>
      <c r="R4" s="9">
        <v>51542.777</v>
      </c>
      <c r="S4" s="9">
        <v>51059.699</v>
      </c>
      <c r="T4" s="9">
        <v>51674.273</v>
      </c>
      <c r="U4" s="9">
        <v>52423.047</v>
      </c>
      <c r="V4" s="9">
        <v>51957.297</v>
      </c>
      <c r="W4" s="9">
        <v>51557.684</v>
      </c>
      <c r="X4" s="9">
        <v>51543.008</v>
      </c>
      <c r="Y4" s="9">
        <v>51260.07</v>
      </c>
      <c r="Z4" s="9">
        <v>51309.777</v>
      </c>
      <c r="AA4" s="9">
        <v>51155.945</v>
      </c>
      <c r="AB4" s="9">
        <v>50907.934</v>
      </c>
      <c r="AC4" s="9">
        <v>50859.066</v>
      </c>
      <c r="AD4" s="9">
        <v>50709.992</v>
      </c>
      <c r="AE4" s="9">
        <v>50034.621</v>
      </c>
      <c r="AF4" s="9">
        <v>49486.012</v>
      </c>
      <c r="AG4" s="9">
        <v>48899.094</v>
      </c>
      <c r="AH4" s="9">
        <v>49388.234</v>
      </c>
      <c r="AI4" s="9">
        <v>50484.539</v>
      </c>
      <c r="AJ4" s="9">
        <v>50399.98</v>
      </c>
      <c r="AK4" s="9">
        <v>50360.383</v>
      </c>
      <c r="AL4" s="9">
        <v>50083.129</v>
      </c>
      <c r="AM4" s="9">
        <v>49939.414</v>
      </c>
      <c r="AN4" s="9">
        <v>49583.371</v>
      </c>
      <c r="AO4" s="9">
        <v>49348.617</v>
      </c>
      <c r="AP4" s="9">
        <v>49048.32</v>
      </c>
      <c r="AQ4" s="9">
        <v>48722.328</v>
      </c>
      <c r="AR4" s="9">
        <v>48557.688</v>
      </c>
      <c r="AS4" s="9">
        <v>47931.688</v>
      </c>
      <c r="AT4" s="9">
        <v>47762.461</v>
      </c>
      <c r="AU4" s="9">
        <v>47170.102</v>
      </c>
      <c r="AV4" s="9">
        <v>47385.344</v>
      </c>
      <c r="AW4" s="9">
        <v>47056.531</v>
      </c>
      <c r="AX4" s="9">
        <v>46330.879</v>
      </c>
      <c r="AY4" s="9">
        <v>46075.648</v>
      </c>
      <c r="AZ4" s="9">
        <v>45757.297</v>
      </c>
      <c r="BA4" s="9">
        <v>45916.945</v>
      </c>
      <c r="BB4" s="9">
        <v>46666.332</v>
      </c>
      <c r="BC4" s="9">
        <v>48304.832</v>
      </c>
      <c r="BD4" s="9">
        <v>50693.688</v>
      </c>
      <c r="BE4" s="9">
        <v>50713.762</v>
      </c>
      <c r="BF4" s="9">
        <v>51712.918</v>
      </c>
      <c r="BG4" s="9">
        <v>52275.109</v>
      </c>
      <c r="BH4" s="9">
        <v>53162.648</v>
      </c>
      <c r="BI4" s="9">
        <v>53653.898</v>
      </c>
      <c r="BJ4" s="9">
        <v>53514.203</v>
      </c>
      <c r="BK4" s="9">
        <v>53737.66</v>
      </c>
      <c r="BL4" s="9">
        <v>54111.027</v>
      </c>
      <c r="BM4" s="9">
        <v>54586.43</v>
      </c>
      <c r="BN4" s="9">
        <v>55595.582</v>
      </c>
      <c r="BO4" s="9">
        <v>56321.367</v>
      </c>
      <c r="BP4" s="9">
        <v>57422.859</v>
      </c>
      <c r="BQ4" s="9">
        <v>59152.383</v>
      </c>
      <c r="BR4" s="9">
        <v>59020.008</v>
      </c>
      <c r="BS4" s="9">
        <v>58779.969</v>
      </c>
      <c r="BT4" s="9">
        <v>58547.402</v>
      </c>
      <c r="BU4" s="9">
        <v>57685.418</v>
      </c>
      <c r="BV4" s="7"/>
    </row>
    <row r="5" ht="16.5" customHeight="1" spans="1:74">
      <c r="A5" s="10" t="s">
        <v>5</v>
      </c>
      <c r="B5" s="11">
        <f t="shared" ref="B5:BM5" si="0">ABS(B3-B4)</f>
        <v>333.203000000001</v>
      </c>
      <c r="C5" s="11">
        <f t="shared" si="0"/>
        <v>750.887000000002</v>
      </c>
      <c r="D5" s="11">
        <f t="shared" si="0"/>
        <v>1011.039</v>
      </c>
      <c r="E5" s="11">
        <f t="shared" si="0"/>
        <v>888.93</v>
      </c>
      <c r="F5" s="11">
        <f t="shared" si="0"/>
        <v>69.6290000000008</v>
      </c>
      <c r="G5" s="11">
        <f t="shared" si="0"/>
        <v>1118.492</v>
      </c>
      <c r="H5" s="11">
        <f t="shared" si="0"/>
        <v>273.086000000003</v>
      </c>
      <c r="I5" s="11">
        <f t="shared" si="0"/>
        <v>259.035000000003</v>
      </c>
      <c r="J5" s="11">
        <f t="shared" si="0"/>
        <v>181.262000000002</v>
      </c>
      <c r="K5" s="11">
        <f t="shared" si="0"/>
        <v>85.023000000001</v>
      </c>
      <c r="L5" s="11">
        <f t="shared" si="0"/>
        <v>799.480000000003</v>
      </c>
      <c r="M5" s="11">
        <f t="shared" si="0"/>
        <v>1069.605</v>
      </c>
      <c r="N5" s="11">
        <f t="shared" si="0"/>
        <v>1221.805</v>
      </c>
      <c r="O5" s="11">
        <f t="shared" si="0"/>
        <v>1622.598</v>
      </c>
      <c r="P5" s="11">
        <f t="shared" si="0"/>
        <v>601.828000000001</v>
      </c>
      <c r="Q5" s="11">
        <f t="shared" si="0"/>
        <v>92.5550000000003</v>
      </c>
      <c r="R5" s="11">
        <f t="shared" si="0"/>
        <v>142.777000000002</v>
      </c>
      <c r="S5" s="11">
        <f t="shared" si="0"/>
        <v>990.300999999999</v>
      </c>
      <c r="T5" s="11">
        <f t="shared" si="0"/>
        <v>1175.727</v>
      </c>
      <c r="U5" s="11">
        <f t="shared" si="0"/>
        <v>76.9530000000013</v>
      </c>
      <c r="V5" s="11">
        <f t="shared" si="0"/>
        <v>7.29699999999866</v>
      </c>
      <c r="W5" s="11">
        <f t="shared" si="0"/>
        <v>292.315999999999</v>
      </c>
      <c r="X5" s="11">
        <f t="shared" si="0"/>
        <v>93.0080000000016</v>
      </c>
      <c r="Y5" s="11">
        <f t="shared" si="0"/>
        <v>139.93</v>
      </c>
      <c r="Z5" s="11">
        <f t="shared" si="0"/>
        <v>109.777000000002</v>
      </c>
      <c r="AA5" s="11">
        <f t="shared" si="0"/>
        <v>305.945</v>
      </c>
      <c r="AB5" s="11">
        <f t="shared" si="0"/>
        <v>157.934000000001</v>
      </c>
      <c r="AC5" s="11">
        <f t="shared" si="0"/>
        <v>459.065999999999</v>
      </c>
      <c r="AD5" s="11">
        <f t="shared" si="0"/>
        <v>1009.992</v>
      </c>
      <c r="AE5" s="11">
        <f t="shared" si="0"/>
        <v>834.620999999999</v>
      </c>
      <c r="AF5" s="11">
        <f t="shared" si="0"/>
        <v>736.012000000002</v>
      </c>
      <c r="AG5" s="11">
        <f t="shared" si="0"/>
        <v>300.906000000003</v>
      </c>
      <c r="AH5" s="11">
        <f t="shared" si="0"/>
        <v>811.766000000003</v>
      </c>
      <c r="AI5" s="11">
        <f t="shared" si="0"/>
        <v>484.538999999997</v>
      </c>
      <c r="AJ5" s="11">
        <f t="shared" si="0"/>
        <v>524.980000000003</v>
      </c>
      <c r="AK5" s="11">
        <f t="shared" si="0"/>
        <v>760.383000000002</v>
      </c>
      <c r="AL5" s="11">
        <f t="shared" si="0"/>
        <v>583.129000000001</v>
      </c>
      <c r="AM5" s="11">
        <f t="shared" si="0"/>
        <v>589.413999999997</v>
      </c>
      <c r="AN5" s="11">
        <f t="shared" si="0"/>
        <v>433.370999999999</v>
      </c>
      <c r="AO5" s="11">
        <f t="shared" si="0"/>
        <v>448.616999999998</v>
      </c>
      <c r="AP5" s="11">
        <f t="shared" si="0"/>
        <v>548.32</v>
      </c>
      <c r="AQ5" s="11">
        <f t="shared" si="0"/>
        <v>422.328000000001</v>
      </c>
      <c r="AR5" s="11">
        <f t="shared" si="0"/>
        <v>707.688000000002</v>
      </c>
      <c r="AS5" s="11">
        <f t="shared" si="0"/>
        <v>81.6880000000019</v>
      </c>
      <c r="AT5" s="11">
        <f t="shared" si="0"/>
        <v>562.461000000003</v>
      </c>
      <c r="AU5" s="11">
        <f t="shared" si="0"/>
        <v>279.898000000001</v>
      </c>
      <c r="AV5" s="11">
        <f t="shared" si="0"/>
        <v>385.343999999997</v>
      </c>
      <c r="AW5" s="11">
        <f t="shared" si="0"/>
        <v>606.531000000003</v>
      </c>
      <c r="AX5" s="11">
        <f t="shared" si="0"/>
        <v>230.879000000001</v>
      </c>
      <c r="AY5" s="11">
        <f t="shared" si="0"/>
        <v>325.648000000001</v>
      </c>
      <c r="AZ5" s="11">
        <f t="shared" si="0"/>
        <v>92.7030000000013</v>
      </c>
      <c r="BA5" s="11">
        <f t="shared" si="0"/>
        <v>883.055</v>
      </c>
      <c r="BB5" s="11">
        <f t="shared" si="0"/>
        <v>1983.668</v>
      </c>
      <c r="BC5" s="11">
        <f t="shared" si="0"/>
        <v>2695.168</v>
      </c>
      <c r="BD5" s="11">
        <f t="shared" si="0"/>
        <v>206.311999999998</v>
      </c>
      <c r="BE5" s="11">
        <f t="shared" si="0"/>
        <v>1136.238</v>
      </c>
      <c r="BF5" s="11">
        <f t="shared" si="0"/>
        <v>737.082000000002</v>
      </c>
      <c r="BG5" s="11">
        <f t="shared" si="0"/>
        <v>974.891000000003</v>
      </c>
      <c r="BH5" s="11">
        <f t="shared" si="0"/>
        <v>687.351999999999</v>
      </c>
      <c r="BI5" s="11">
        <f t="shared" si="0"/>
        <v>3.89800000000105</v>
      </c>
      <c r="BJ5" s="11">
        <f t="shared" si="0"/>
        <v>135.796999999999</v>
      </c>
      <c r="BK5" s="11">
        <f t="shared" si="0"/>
        <v>112.339999999997</v>
      </c>
      <c r="BL5" s="11">
        <f t="shared" si="0"/>
        <v>638.972999999998</v>
      </c>
      <c r="BM5" s="11">
        <f t="shared" si="0"/>
        <v>1313.57</v>
      </c>
      <c r="BN5" s="11">
        <f t="shared" ref="BN5:BU5" si="1">ABS(BN3-BN4)</f>
        <v>1054.418</v>
      </c>
      <c r="BO5" s="11">
        <f t="shared" si="1"/>
        <v>1378.633</v>
      </c>
      <c r="BP5" s="11">
        <f t="shared" si="1"/>
        <v>2177.141</v>
      </c>
      <c r="BQ5" s="11">
        <f t="shared" si="1"/>
        <v>447.616999999998</v>
      </c>
      <c r="BR5" s="11">
        <f t="shared" si="1"/>
        <v>179.991999999998</v>
      </c>
      <c r="BS5" s="11">
        <f t="shared" si="1"/>
        <v>129.968999999997</v>
      </c>
      <c r="BT5" s="11">
        <f t="shared" si="1"/>
        <v>697.402000000002</v>
      </c>
      <c r="BU5" s="11">
        <f t="shared" si="1"/>
        <v>514.582000000002</v>
      </c>
      <c r="BV5" s="7">
        <f>AVERAGE(B5:BU5)</f>
        <v>613.5945</v>
      </c>
    </row>
    <row r="6" ht="16.5" customHeight="1" spans="1:74">
      <c r="A6" s="12" t="s">
        <v>6</v>
      </c>
      <c r="B6" s="13">
        <f t="shared" ref="B6:BM6" si="2">IF(B3=0,"-",ABS(B3-B4)/B3*100)</f>
        <v>0.713496788008568</v>
      </c>
      <c r="C6" s="13">
        <f t="shared" si="2"/>
        <v>1.61134549356224</v>
      </c>
      <c r="D6" s="13">
        <f t="shared" si="2"/>
        <v>2.16961158798283</v>
      </c>
      <c r="E6" s="13">
        <f t="shared" si="2"/>
        <v>1.91167741935484</v>
      </c>
      <c r="F6" s="13">
        <f t="shared" si="2"/>
        <v>0.14814680851064</v>
      </c>
      <c r="G6" s="13">
        <f t="shared" si="2"/>
        <v>2.31571842650103</v>
      </c>
      <c r="H6" s="13">
        <f t="shared" si="2"/>
        <v>0.561905349794245</v>
      </c>
      <c r="I6" s="13">
        <f t="shared" si="2"/>
        <v>0.534092783505162</v>
      </c>
      <c r="J6" s="13">
        <f t="shared" si="2"/>
        <v>0.374895553257503</v>
      </c>
      <c r="K6" s="13">
        <f t="shared" si="2"/>
        <v>0.176396265560168</v>
      </c>
      <c r="L6" s="13">
        <f t="shared" si="2"/>
        <v>1.63995897435898</v>
      </c>
      <c r="M6" s="13">
        <f t="shared" si="2"/>
        <v>2.15646169354839</v>
      </c>
      <c r="N6" s="13">
        <f t="shared" si="2"/>
        <v>2.41225074037512</v>
      </c>
      <c r="O6" s="13">
        <f t="shared" si="2"/>
        <v>3.12038076923077</v>
      </c>
      <c r="P6" s="13">
        <f t="shared" si="2"/>
        <v>1.14962368672398</v>
      </c>
      <c r="Q6" s="13">
        <f t="shared" si="2"/>
        <v>0.178333333333334</v>
      </c>
      <c r="R6" s="13">
        <f t="shared" si="2"/>
        <v>0.277776264591443</v>
      </c>
      <c r="S6" s="13">
        <f t="shared" si="2"/>
        <v>1.90259558117195</v>
      </c>
      <c r="T6" s="13">
        <f t="shared" si="2"/>
        <v>2.22464900662251</v>
      </c>
      <c r="U6" s="13">
        <f t="shared" si="2"/>
        <v>0.146577142857145</v>
      </c>
      <c r="V6" s="13">
        <f t="shared" si="2"/>
        <v>0.0140461982675624</v>
      </c>
      <c r="W6" s="13">
        <f t="shared" si="2"/>
        <v>0.563772420443585</v>
      </c>
      <c r="X6" s="13">
        <f t="shared" si="2"/>
        <v>0.180773566569488</v>
      </c>
      <c r="Y6" s="13">
        <f t="shared" si="2"/>
        <v>0.272237354085604</v>
      </c>
      <c r="Z6" s="13">
        <f t="shared" si="2"/>
        <v>0.214408203125004</v>
      </c>
      <c r="AA6" s="13">
        <f t="shared" si="2"/>
        <v>0.60166175024582</v>
      </c>
      <c r="AB6" s="13">
        <f t="shared" si="2"/>
        <v>0.311200000000002</v>
      </c>
      <c r="AC6" s="13">
        <f t="shared" si="2"/>
        <v>0.910845238095236</v>
      </c>
      <c r="AD6" s="13">
        <f t="shared" si="2"/>
        <v>2.03217706237424</v>
      </c>
      <c r="AE6" s="13">
        <f t="shared" si="2"/>
        <v>1.69638414634146</v>
      </c>
      <c r="AF6" s="13">
        <f t="shared" si="2"/>
        <v>1.50976820512821</v>
      </c>
      <c r="AG6" s="13">
        <f t="shared" si="2"/>
        <v>0.611597560975615</v>
      </c>
      <c r="AH6" s="13">
        <f t="shared" si="2"/>
        <v>1.61706374501993</v>
      </c>
      <c r="AI6" s="13">
        <f t="shared" si="2"/>
        <v>0.969077999999994</v>
      </c>
      <c r="AJ6" s="13">
        <f t="shared" si="2"/>
        <v>1.05259147869675</v>
      </c>
      <c r="AK6" s="13">
        <f t="shared" si="2"/>
        <v>1.53303024193549</v>
      </c>
      <c r="AL6" s="13">
        <f t="shared" si="2"/>
        <v>1.17803838383839</v>
      </c>
      <c r="AM6" s="13">
        <f t="shared" si="2"/>
        <v>1.19435460992907</v>
      </c>
      <c r="AN6" s="13">
        <f t="shared" si="2"/>
        <v>0.881731434384535</v>
      </c>
      <c r="AO6" s="13">
        <f t="shared" si="2"/>
        <v>0.917417177914107</v>
      </c>
      <c r="AP6" s="13">
        <f t="shared" si="2"/>
        <v>1.13055670103093</v>
      </c>
      <c r="AQ6" s="13">
        <f t="shared" si="2"/>
        <v>0.874385093167705</v>
      </c>
      <c r="AR6" s="13">
        <f t="shared" si="2"/>
        <v>1.47897178683386</v>
      </c>
      <c r="AS6" s="13">
        <f t="shared" si="2"/>
        <v>0.170716823406483</v>
      </c>
      <c r="AT6" s="13">
        <f t="shared" si="2"/>
        <v>1.19165466101696</v>
      </c>
      <c r="AU6" s="13">
        <f t="shared" si="2"/>
        <v>0.589879873551109</v>
      </c>
      <c r="AV6" s="13">
        <f t="shared" si="2"/>
        <v>0.819880851063824</v>
      </c>
      <c r="AW6" s="13">
        <f t="shared" si="2"/>
        <v>1.30577179763187</v>
      </c>
      <c r="AX6" s="13">
        <f t="shared" si="2"/>
        <v>0.500822125813451</v>
      </c>
      <c r="AY6" s="13">
        <f t="shared" si="2"/>
        <v>0.711798907103827</v>
      </c>
      <c r="AZ6" s="13">
        <f t="shared" si="2"/>
        <v>0.202187568157037</v>
      </c>
      <c r="BA6" s="13">
        <f t="shared" si="2"/>
        <v>1.88686965811966</v>
      </c>
      <c r="BB6" s="13">
        <f t="shared" si="2"/>
        <v>4.07742651593011</v>
      </c>
      <c r="BC6" s="13">
        <f t="shared" si="2"/>
        <v>5.2846431372549</v>
      </c>
      <c r="BD6" s="13">
        <f t="shared" si="2"/>
        <v>0.40532809430255</v>
      </c>
      <c r="BE6" s="13">
        <f t="shared" si="2"/>
        <v>2.1913944069431</v>
      </c>
      <c r="BF6" s="13">
        <f t="shared" si="2"/>
        <v>1.40530409914204</v>
      </c>
      <c r="BG6" s="13">
        <f t="shared" si="2"/>
        <v>1.83078122065728</v>
      </c>
      <c r="BH6" s="13">
        <f t="shared" si="2"/>
        <v>1.27641968430826</v>
      </c>
      <c r="BI6" s="13">
        <f t="shared" si="2"/>
        <v>0.00726561043802618</v>
      </c>
      <c r="BJ6" s="13">
        <f t="shared" si="2"/>
        <v>0.253116495806148</v>
      </c>
      <c r="BK6" s="13">
        <f t="shared" si="2"/>
        <v>0.208616527390894</v>
      </c>
      <c r="BL6" s="13">
        <f t="shared" si="2"/>
        <v>1.16707397260274</v>
      </c>
      <c r="BM6" s="13">
        <f t="shared" si="2"/>
        <v>2.34985688729875</v>
      </c>
      <c r="BN6" s="13">
        <f t="shared" ref="BN6:BU6" si="3">IF(BN3=0,"-",ABS(BN3-BN4)/BN3*100)</f>
        <v>1.86128508384819</v>
      </c>
      <c r="BO6" s="13">
        <f t="shared" si="3"/>
        <v>2.38931195840555</v>
      </c>
      <c r="BP6" s="13">
        <f t="shared" si="3"/>
        <v>3.6529211409396</v>
      </c>
      <c r="BQ6" s="13">
        <f t="shared" si="3"/>
        <v>0.751035234899326</v>
      </c>
      <c r="BR6" s="13">
        <f t="shared" si="3"/>
        <v>0.304040540540538</v>
      </c>
      <c r="BS6" s="13">
        <f t="shared" si="3"/>
        <v>0.221601023017898</v>
      </c>
      <c r="BT6" s="13">
        <f t="shared" si="3"/>
        <v>1.20553500432152</v>
      </c>
      <c r="BU6" s="13">
        <f t="shared" si="3"/>
        <v>0.884161512027495</v>
      </c>
      <c r="BV6" s="14">
        <f>AVERAGEIF(B6:BU6,"&lt;&gt;-")</f>
        <v>1.20248172837767</v>
      </c>
    </row>
    <row r="7" ht="16.5" customHeight="1" spans="1:74">
      <c r="A7" s="15" t="s">
        <v>7</v>
      </c>
      <c r="B7" s="16">
        <f t="shared" ref="B7:BM7" si="4">100-B6</f>
        <v>99.2865032119914</v>
      </c>
      <c r="C7" s="16">
        <f t="shared" si="4"/>
        <v>98.3886545064378</v>
      </c>
      <c r="D7" s="16">
        <f t="shared" si="4"/>
        <v>97.8303884120172</v>
      </c>
      <c r="E7" s="16">
        <f t="shared" si="4"/>
        <v>98.0883225806452</v>
      </c>
      <c r="F7" s="16">
        <f t="shared" si="4"/>
        <v>99.8518531914894</v>
      </c>
      <c r="G7" s="16">
        <f t="shared" si="4"/>
        <v>97.684281573499</v>
      </c>
      <c r="H7" s="16">
        <f t="shared" si="4"/>
        <v>99.4380946502058</v>
      </c>
      <c r="I7" s="16">
        <f t="shared" si="4"/>
        <v>99.4659072164948</v>
      </c>
      <c r="J7" s="16">
        <f t="shared" si="4"/>
        <v>99.6251044467425</v>
      </c>
      <c r="K7" s="16">
        <f t="shared" si="4"/>
        <v>99.8236037344398</v>
      </c>
      <c r="L7" s="16">
        <f t="shared" si="4"/>
        <v>98.360041025641</v>
      </c>
      <c r="M7" s="16">
        <f t="shared" si="4"/>
        <v>97.8435383064516</v>
      </c>
      <c r="N7" s="16">
        <f t="shared" si="4"/>
        <v>97.5877492596249</v>
      </c>
      <c r="O7" s="16">
        <f t="shared" si="4"/>
        <v>96.8796192307692</v>
      </c>
      <c r="P7" s="16">
        <f t="shared" si="4"/>
        <v>98.850376313276</v>
      </c>
      <c r="Q7" s="16">
        <f t="shared" si="4"/>
        <v>99.8216666666667</v>
      </c>
      <c r="R7" s="16">
        <f t="shared" si="4"/>
        <v>99.7222237354086</v>
      </c>
      <c r="S7" s="16">
        <f t="shared" si="4"/>
        <v>98.097404418828</v>
      </c>
      <c r="T7" s="16">
        <f t="shared" si="4"/>
        <v>97.7753509933775</v>
      </c>
      <c r="U7" s="16">
        <f t="shared" si="4"/>
        <v>99.8534228571429</v>
      </c>
      <c r="V7" s="16">
        <f t="shared" si="4"/>
        <v>99.9859538017324</v>
      </c>
      <c r="W7" s="16">
        <f t="shared" si="4"/>
        <v>99.4362275795564</v>
      </c>
      <c r="X7" s="16">
        <f t="shared" si="4"/>
        <v>99.8192264334305</v>
      </c>
      <c r="Y7" s="16">
        <f t="shared" si="4"/>
        <v>99.7277626459144</v>
      </c>
      <c r="Z7" s="16">
        <f t="shared" si="4"/>
        <v>99.785591796875</v>
      </c>
      <c r="AA7" s="16">
        <f t="shared" si="4"/>
        <v>99.3983382497542</v>
      </c>
      <c r="AB7" s="16">
        <f t="shared" si="4"/>
        <v>99.6888</v>
      </c>
      <c r="AC7" s="16">
        <f t="shared" si="4"/>
        <v>99.0891547619048</v>
      </c>
      <c r="AD7" s="16">
        <f t="shared" si="4"/>
        <v>97.9678229376258</v>
      </c>
      <c r="AE7" s="16">
        <f t="shared" si="4"/>
        <v>98.3036158536585</v>
      </c>
      <c r="AF7" s="16">
        <f t="shared" si="4"/>
        <v>98.4902317948718</v>
      </c>
      <c r="AG7" s="16">
        <f t="shared" si="4"/>
        <v>99.3884024390244</v>
      </c>
      <c r="AH7" s="16">
        <f t="shared" si="4"/>
        <v>98.3829362549801</v>
      </c>
      <c r="AI7" s="16">
        <f t="shared" si="4"/>
        <v>99.030922</v>
      </c>
      <c r="AJ7" s="16">
        <f t="shared" si="4"/>
        <v>98.9474085213032</v>
      </c>
      <c r="AK7" s="16">
        <f t="shared" si="4"/>
        <v>98.4669697580645</v>
      </c>
      <c r="AL7" s="16">
        <f t="shared" si="4"/>
        <v>98.8219616161616</v>
      </c>
      <c r="AM7" s="16">
        <f t="shared" si="4"/>
        <v>98.8056453900709</v>
      </c>
      <c r="AN7" s="16">
        <f t="shared" si="4"/>
        <v>99.1182685656155</v>
      </c>
      <c r="AO7" s="16">
        <f t="shared" si="4"/>
        <v>99.0825828220859</v>
      </c>
      <c r="AP7" s="16">
        <f t="shared" si="4"/>
        <v>98.8694432989691</v>
      </c>
      <c r="AQ7" s="16">
        <f t="shared" si="4"/>
        <v>99.1256149068323</v>
      </c>
      <c r="AR7" s="16">
        <f t="shared" si="4"/>
        <v>98.5210282131661</v>
      </c>
      <c r="AS7" s="16">
        <f t="shared" si="4"/>
        <v>99.8292831765935</v>
      </c>
      <c r="AT7" s="16">
        <f t="shared" si="4"/>
        <v>98.808345338983</v>
      </c>
      <c r="AU7" s="16">
        <f t="shared" si="4"/>
        <v>99.4101201264489</v>
      </c>
      <c r="AV7" s="16">
        <f t="shared" si="4"/>
        <v>99.1801191489362</v>
      </c>
      <c r="AW7" s="16">
        <f t="shared" si="4"/>
        <v>98.6942282023681</v>
      </c>
      <c r="AX7" s="16">
        <f t="shared" si="4"/>
        <v>99.4991778741865</v>
      </c>
      <c r="AY7" s="16">
        <f t="shared" si="4"/>
        <v>99.2882010928962</v>
      </c>
      <c r="AZ7" s="16">
        <f t="shared" si="4"/>
        <v>99.797812431843</v>
      </c>
      <c r="BA7" s="16">
        <f t="shared" si="4"/>
        <v>98.1131303418803</v>
      </c>
      <c r="BB7" s="16">
        <f t="shared" si="4"/>
        <v>95.9225734840699</v>
      </c>
      <c r="BC7" s="16">
        <f t="shared" si="4"/>
        <v>94.7153568627451</v>
      </c>
      <c r="BD7" s="16">
        <f t="shared" si="4"/>
        <v>99.5946719056975</v>
      </c>
      <c r="BE7" s="16">
        <f t="shared" si="4"/>
        <v>97.8086055930569</v>
      </c>
      <c r="BF7" s="16">
        <f t="shared" si="4"/>
        <v>98.594695900858</v>
      </c>
      <c r="BG7" s="16">
        <f t="shared" si="4"/>
        <v>98.1692187793427</v>
      </c>
      <c r="BH7" s="16">
        <f t="shared" si="4"/>
        <v>98.7235803156917</v>
      </c>
      <c r="BI7" s="16">
        <f t="shared" si="4"/>
        <v>99.992734389562</v>
      </c>
      <c r="BJ7" s="16">
        <f t="shared" si="4"/>
        <v>99.7468835041938</v>
      </c>
      <c r="BK7" s="16">
        <f t="shared" si="4"/>
        <v>99.7913834726091</v>
      </c>
      <c r="BL7" s="16">
        <f t="shared" si="4"/>
        <v>98.8329260273973</v>
      </c>
      <c r="BM7" s="16">
        <f t="shared" si="4"/>
        <v>97.6501431127013</v>
      </c>
      <c r="BN7" s="16">
        <f t="shared" ref="BN7:BU7" si="5">100-BN6</f>
        <v>98.1387149161518</v>
      </c>
      <c r="BO7" s="16">
        <f t="shared" si="5"/>
        <v>97.6106880415945</v>
      </c>
      <c r="BP7" s="16">
        <f t="shared" si="5"/>
        <v>96.3470788590604</v>
      </c>
      <c r="BQ7" s="16">
        <f t="shared" si="5"/>
        <v>99.2489647651007</v>
      </c>
      <c r="BR7" s="16">
        <f t="shared" si="5"/>
        <v>99.6959594594595</v>
      </c>
      <c r="BS7" s="16">
        <f t="shared" si="5"/>
        <v>99.7783989769821</v>
      </c>
      <c r="BT7" s="16">
        <f t="shared" si="5"/>
        <v>98.7944649956785</v>
      </c>
      <c r="BU7" s="16">
        <f t="shared" si="5"/>
        <v>99.1158384879725</v>
      </c>
      <c r="BV7" s="14">
        <f>AVERAGEIF(B7:BU7,"&lt;&gt;-")</f>
        <v>98.7975182716224</v>
      </c>
    </row>
    <row r="8" ht="16.5" customHeight="1" spans="1:74">
      <c r="A8" s="15" t="s">
        <v>8</v>
      </c>
      <c r="B8" s="16" t="s">
        <v>9</v>
      </c>
      <c r="C8" s="17">
        <f t="shared" ref="C8:BN8" si="6">IF(AND(ABS(C3-B3)&lt;500,ABS(C4-B3)&lt;500),100,IF(AND(ABS(C3-B3)&lt;500,ABS(C4-B3)&gt;=500),0,IF((C3-B3)*(C4-B3)&gt;0,100,0)))</f>
        <v>0</v>
      </c>
      <c r="D8" s="17">
        <f t="shared" si="6"/>
        <v>0</v>
      </c>
      <c r="E8" s="17">
        <f t="shared" si="6"/>
        <v>0</v>
      </c>
      <c r="F8" s="17">
        <f t="shared" si="6"/>
        <v>100</v>
      </c>
      <c r="G8" s="17">
        <f t="shared" si="6"/>
        <v>100</v>
      </c>
      <c r="H8" s="17">
        <f t="shared" si="6"/>
        <v>100</v>
      </c>
      <c r="I8" s="17">
        <f t="shared" si="6"/>
        <v>100</v>
      </c>
      <c r="J8" s="17">
        <f t="shared" si="6"/>
        <v>100</v>
      </c>
      <c r="K8" s="17">
        <f t="shared" si="6"/>
        <v>100</v>
      </c>
      <c r="L8" s="17">
        <f t="shared" si="6"/>
        <v>0</v>
      </c>
      <c r="M8" s="17">
        <f t="shared" si="6"/>
        <v>0</v>
      </c>
      <c r="N8" s="17">
        <f t="shared" si="6"/>
        <v>0</v>
      </c>
      <c r="O8" s="17">
        <f t="shared" si="6"/>
        <v>0</v>
      </c>
      <c r="P8" s="17">
        <f t="shared" si="6"/>
        <v>100</v>
      </c>
      <c r="Q8" s="17">
        <f t="shared" si="6"/>
        <v>100</v>
      </c>
      <c r="R8" s="17">
        <f t="shared" si="6"/>
        <v>100</v>
      </c>
      <c r="S8" s="17">
        <f t="shared" si="6"/>
        <v>0</v>
      </c>
      <c r="T8" s="17">
        <f t="shared" si="6"/>
        <v>0</v>
      </c>
      <c r="U8" s="17">
        <f t="shared" si="6"/>
        <v>100</v>
      </c>
      <c r="V8" s="17">
        <f t="shared" si="6"/>
        <v>100</v>
      </c>
      <c r="W8" s="17">
        <f t="shared" si="6"/>
        <v>100</v>
      </c>
      <c r="X8" s="17">
        <f t="shared" si="6"/>
        <v>100</v>
      </c>
      <c r="Y8" s="17">
        <f t="shared" si="6"/>
        <v>100</v>
      </c>
      <c r="Z8" s="17">
        <f t="shared" si="6"/>
        <v>100</v>
      </c>
      <c r="AA8" s="17">
        <f t="shared" si="6"/>
        <v>100</v>
      </c>
      <c r="AB8" s="17">
        <f t="shared" si="6"/>
        <v>100</v>
      </c>
      <c r="AC8" s="17">
        <f t="shared" si="6"/>
        <v>100</v>
      </c>
      <c r="AD8" s="17">
        <f t="shared" si="6"/>
        <v>0</v>
      </c>
      <c r="AE8" s="17">
        <f t="shared" si="6"/>
        <v>0</v>
      </c>
      <c r="AF8" s="17">
        <f t="shared" si="6"/>
        <v>100</v>
      </c>
      <c r="AG8" s="17">
        <f t="shared" si="6"/>
        <v>100</v>
      </c>
      <c r="AH8" s="17">
        <f t="shared" si="6"/>
        <v>100</v>
      </c>
      <c r="AI8" s="17">
        <f t="shared" si="6"/>
        <v>100</v>
      </c>
      <c r="AJ8" s="17">
        <f t="shared" si="6"/>
        <v>100</v>
      </c>
      <c r="AK8" s="17">
        <f t="shared" si="6"/>
        <v>100</v>
      </c>
      <c r="AL8" s="17">
        <f t="shared" si="6"/>
        <v>100</v>
      </c>
      <c r="AM8" s="17">
        <f t="shared" si="6"/>
        <v>100</v>
      </c>
      <c r="AN8" s="17">
        <f t="shared" si="6"/>
        <v>100</v>
      </c>
      <c r="AO8" s="17">
        <f t="shared" si="6"/>
        <v>100</v>
      </c>
      <c r="AP8" s="17">
        <f t="shared" si="6"/>
        <v>100</v>
      </c>
      <c r="AQ8" s="17">
        <f t="shared" si="6"/>
        <v>100</v>
      </c>
      <c r="AR8" s="17">
        <f t="shared" si="6"/>
        <v>100</v>
      </c>
      <c r="AS8" s="17">
        <f t="shared" si="6"/>
        <v>100</v>
      </c>
      <c r="AT8" s="17">
        <f t="shared" si="6"/>
        <v>100</v>
      </c>
      <c r="AU8" s="17">
        <f t="shared" si="6"/>
        <v>100</v>
      </c>
      <c r="AV8" s="17">
        <f t="shared" si="6"/>
        <v>100</v>
      </c>
      <c r="AW8" s="17">
        <f t="shared" si="6"/>
        <v>0</v>
      </c>
      <c r="AX8" s="17">
        <f t="shared" si="6"/>
        <v>100</v>
      </c>
      <c r="AY8" s="17">
        <f t="shared" si="6"/>
        <v>100</v>
      </c>
      <c r="AZ8" s="17">
        <f t="shared" si="6"/>
        <v>100</v>
      </c>
      <c r="BA8" s="17">
        <f t="shared" si="6"/>
        <v>100</v>
      </c>
      <c r="BB8" s="17">
        <f t="shared" si="6"/>
        <v>0</v>
      </c>
      <c r="BC8" s="17">
        <f t="shared" si="6"/>
        <v>0</v>
      </c>
      <c r="BD8" s="17">
        <f t="shared" si="6"/>
        <v>100</v>
      </c>
      <c r="BE8" s="17">
        <f t="shared" si="6"/>
        <v>0</v>
      </c>
      <c r="BF8" s="17">
        <f t="shared" si="6"/>
        <v>0</v>
      </c>
      <c r="BG8" s="17">
        <f t="shared" si="6"/>
        <v>0</v>
      </c>
      <c r="BH8" s="17">
        <f t="shared" si="6"/>
        <v>0</v>
      </c>
      <c r="BI8" s="17">
        <f t="shared" si="6"/>
        <v>100</v>
      </c>
      <c r="BJ8" s="17">
        <f t="shared" si="6"/>
        <v>100</v>
      </c>
      <c r="BK8" s="17">
        <f t="shared" si="6"/>
        <v>100</v>
      </c>
      <c r="BL8" s="17">
        <f t="shared" si="6"/>
        <v>100</v>
      </c>
      <c r="BM8" s="17">
        <f t="shared" si="6"/>
        <v>0</v>
      </c>
      <c r="BN8" s="17">
        <f t="shared" si="6"/>
        <v>0</v>
      </c>
      <c r="BO8" s="17">
        <f t="shared" ref="BO8:BU8" si="7">IF(AND(ABS(BO3-BN3)&lt;500,ABS(BO4-BN3)&lt;500),100,IF(AND(ABS(BO3-BN3)&lt;500,ABS(BO4-BN3)&gt;=500),0,IF((BO3-BN3)*(BO4-BN3)&gt;0,100,0)))</f>
        <v>0</v>
      </c>
      <c r="BP8" s="17">
        <f t="shared" si="7"/>
        <v>0</v>
      </c>
      <c r="BQ8" s="17">
        <f t="shared" si="7"/>
        <v>100</v>
      </c>
      <c r="BR8" s="17">
        <f t="shared" si="7"/>
        <v>0</v>
      </c>
      <c r="BS8" s="17">
        <f t="shared" si="7"/>
        <v>100</v>
      </c>
      <c r="BT8" s="17">
        <f t="shared" si="7"/>
        <v>100</v>
      </c>
      <c r="BU8" s="17">
        <f t="shared" si="7"/>
        <v>100</v>
      </c>
      <c r="BV8" s="14">
        <f>AVERAGEIF(B8:BU8,"&lt;&gt;N/A")</f>
        <v>67.6056338028169</v>
      </c>
    </row>
    <row r="9" ht="16.5" customHeight="1" spans="1:74">
      <c r="A9" s="18" t="s">
        <v>10</v>
      </c>
      <c r="B9" s="19" t="s">
        <v>9</v>
      </c>
      <c r="C9" s="20" t="str">
        <f t="shared" ref="C9:BN9" si="8">IF((C4-B3)&gt;=500,IF(ABS((C3-B3))&lt;500,"N/A",IF((C3-B3)&lt;0,-ABS((C3-B3)/(C4-B3))*100,MIN(100,ABS((C3-B3)/(C4-B3))*100))),IF((C4-B3)&lt;=-500,IF(ABS((C3-B3))&lt;500,"N/A",IF((C3-B3)&gt;0,-ABS((C3-B3)/(C4-B3))*100,MIN(100,ABS((C3-B3)/(C4-B3))*100))),IF(ABS((C3-B3))&lt;500,100,MIN(100,500/ABS((C3-B3))*100))))</f>
        <v>N/A</v>
      </c>
      <c r="D9" s="20" t="str">
        <f t="shared" si="8"/>
        <v>N/A</v>
      </c>
      <c r="E9" s="20" t="str">
        <f t="shared" si="8"/>
        <v>N/A</v>
      </c>
      <c r="F9" s="20">
        <f t="shared" si="8"/>
        <v>87.7764299219315</v>
      </c>
      <c r="G9" s="20">
        <f t="shared" si="8"/>
        <v>38.4615384615385</v>
      </c>
      <c r="H9" s="20">
        <f t="shared" si="8"/>
        <v>100</v>
      </c>
      <c r="I9" s="20">
        <f t="shared" si="8"/>
        <v>100</v>
      </c>
      <c r="J9" s="20">
        <f t="shared" si="8"/>
        <v>100</v>
      </c>
      <c r="K9" s="20">
        <f t="shared" si="8"/>
        <v>100</v>
      </c>
      <c r="L9" s="20">
        <f t="shared" si="8"/>
        <v>90.9090909090909</v>
      </c>
      <c r="M9" s="20">
        <f t="shared" si="8"/>
        <v>58.8235294117647</v>
      </c>
      <c r="N9" s="20">
        <f t="shared" si="8"/>
        <v>47.6190476190476</v>
      </c>
      <c r="O9" s="20">
        <f t="shared" si="8"/>
        <v>37.037037037037</v>
      </c>
      <c r="P9" s="20">
        <f t="shared" si="8"/>
        <v>100</v>
      </c>
      <c r="Q9" s="20">
        <f t="shared" si="8"/>
        <v>100</v>
      </c>
      <c r="R9" s="20">
        <f t="shared" si="8"/>
        <v>100</v>
      </c>
      <c r="S9" s="20">
        <f t="shared" si="8"/>
        <v>76.9230769230769</v>
      </c>
      <c r="T9" s="20">
        <f t="shared" si="8"/>
        <v>62.5</v>
      </c>
      <c r="U9" s="20">
        <f t="shared" si="8"/>
        <v>100</v>
      </c>
      <c r="V9" s="20">
        <f t="shared" si="8"/>
        <v>100</v>
      </c>
      <c r="W9" s="20">
        <f t="shared" si="8"/>
        <v>100</v>
      </c>
      <c r="X9" s="20">
        <f t="shared" si="8"/>
        <v>100</v>
      </c>
      <c r="Y9" s="20">
        <f t="shared" si="8"/>
        <v>100</v>
      </c>
      <c r="Z9" s="20">
        <f t="shared" si="8"/>
        <v>100</v>
      </c>
      <c r="AA9" s="20">
        <f t="shared" si="8"/>
        <v>100</v>
      </c>
      <c r="AB9" s="20">
        <f t="shared" si="8"/>
        <v>100</v>
      </c>
      <c r="AC9" s="20">
        <f t="shared" si="8"/>
        <v>100</v>
      </c>
      <c r="AD9" s="20">
        <f t="shared" si="8"/>
        <v>71.4285714285714</v>
      </c>
      <c r="AE9" s="20">
        <f t="shared" si="8"/>
        <v>100</v>
      </c>
      <c r="AF9" s="20">
        <f t="shared" si="8"/>
        <v>100</v>
      </c>
      <c r="AG9" s="20">
        <f t="shared" si="8"/>
        <v>100</v>
      </c>
      <c r="AH9" s="20">
        <f t="shared" si="8"/>
        <v>50</v>
      </c>
      <c r="AI9" s="20">
        <f t="shared" si="8"/>
        <v>100</v>
      </c>
      <c r="AJ9" s="20">
        <f t="shared" si="8"/>
        <v>100</v>
      </c>
      <c r="AK9" s="20">
        <f t="shared" si="8"/>
        <v>100</v>
      </c>
      <c r="AL9" s="20">
        <f t="shared" si="8"/>
        <v>100</v>
      </c>
      <c r="AM9" s="20">
        <f t="shared" si="8"/>
        <v>100</v>
      </c>
      <c r="AN9" s="20">
        <f t="shared" si="8"/>
        <v>100</v>
      </c>
      <c r="AO9" s="20">
        <f t="shared" si="8"/>
        <v>100</v>
      </c>
      <c r="AP9" s="20">
        <f t="shared" si="8"/>
        <v>100</v>
      </c>
      <c r="AQ9" s="20">
        <f t="shared" si="8"/>
        <v>100</v>
      </c>
      <c r="AR9" s="20">
        <f t="shared" si="8"/>
        <v>100</v>
      </c>
      <c r="AS9" s="20">
        <f t="shared" si="8"/>
        <v>100</v>
      </c>
      <c r="AT9" s="20">
        <f t="shared" si="8"/>
        <v>76.9230769230769</v>
      </c>
      <c r="AU9" s="20">
        <f t="shared" si="8"/>
        <v>100</v>
      </c>
      <c r="AV9" s="20">
        <f t="shared" si="8"/>
        <v>100</v>
      </c>
      <c r="AW9" s="20">
        <f t="shared" si="8"/>
        <v>90.9090909090909</v>
      </c>
      <c r="AX9" s="20">
        <f t="shared" si="8"/>
        <v>100</v>
      </c>
      <c r="AY9" s="20">
        <f t="shared" si="8"/>
        <v>100</v>
      </c>
      <c r="AZ9" s="20">
        <f t="shared" si="8"/>
        <v>100</v>
      </c>
      <c r="BA9" s="20">
        <f t="shared" si="8"/>
        <v>52.6315789473684</v>
      </c>
      <c r="BB9" s="20">
        <f t="shared" si="8"/>
        <v>27.027027027027</v>
      </c>
      <c r="BC9" s="20">
        <f t="shared" si="8"/>
        <v>21.2765957446809</v>
      </c>
      <c r="BD9" s="20">
        <f t="shared" si="8"/>
        <v>100</v>
      </c>
      <c r="BE9" s="20">
        <f t="shared" si="8"/>
        <v>52.6315789473684</v>
      </c>
      <c r="BF9" s="20">
        <f t="shared" si="8"/>
        <v>83.3333333333333</v>
      </c>
      <c r="BG9" s="20">
        <f t="shared" si="8"/>
        <v>62.5</v>
      </c>
      <c r="BH9" s="20">
        <f t="shared" si="8"/>
        <v>83.3333333333333</v>
      </c>
      <c r="BI9" s="20">
        <f t="shared" si="8"/>
        <v>100</v>
      </c>
      <c r="BJ9" s="20">
        <f t="shared" si="8"/>
        <v>100</v>
      </c>
      <c r="BK9" s="20">
        <f t="shared" si="8"/>
        <v>100</v>
      </c>
      <c r="BL9" s="20">
        <f t="shared" si="8"/>
        <v>55.5555555555556</v>
      </c>
      <c r="BM9" s="20">
        <f t="shared" si="8"/>
        <v>43.4782608695652</v>
      </c>
      <c r="BN9" s="20">
        <f t="shared" si="8"/>
        <v>66.6666666666667</v>
      </c>
      <c r="BO9" s="20">
        <f t="shared" ref="BO9:BU9" si="9">IF((BO4-BN3)&gt;=500,IF(ABS((BO3-BN3))&lt;500,"N/A",IF((BO3-BN3)&lt;0,-ABS((BO3-BN3)/(BO4-BN3))*100,MIN(100,ABS((BO3-BN3)/(BO4-BN3))*100))),IF((BO4-BN3)&lt;=-500,IF(ABS((BO3-BN3))&lt;500,"N/A",IF((BO3-BN3)&gt;0,-ABS((BO3-BN3)/(BO4-BN3))*100,MIN(100,ABS((BO3-BN3)/(BO4-BN3))*100))),IF(ABS((BO3-BN3))&lt;500,100,MIN(100,500/ABS((BO3-BN3))*100))))</f>
        <v>47.6190476190476</v>
      </c>
      <c r="BP9" s="20">
        <f t="shared" si="9"/>
        <v>26.3157894736842</v>
      </c>
      <c r="BQ9" s="20">
        <f t="shared" si="9"/>
        <v>100</v>
      </c>
      <c r="BR9" s="20" t="str">
        <f t="shared" si="9"/>
        <v>N/A</v>
      </c>
      <c r="BS9" s="20">
        <f t="shared" si="9"/>
        <v>90.9090909090909</v>
      </c>
      <c r="BT9" s="20">
        <f t="shared" si="9"/>
        <v>62.5</v>
      </c>
      <c r="BU9" s="20">
        <f t="shared" si="9"/>
        <v>100</v>
      </c>
      <c r="BV9" s="14">
        <f>IFERROR(AVERAGEIF(B9:BU9,"&lt;&gt;N/A"),"-")</f>
        <v>84.5535574324022</v>
      </c>
    </row>
  </sheetData>
  <mergeCells count="1">
    <mergeCell ref="A1:BV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9"/>
  <sheetViews>
    <sheetView workbookViewId="0">
      <pane xSplit="1" ySplit="2" topLeftCell="BT3" activePane="bottomRight" state="frozen"/>
      <selection/>
      <selection pane="topRight"/>
      <selection pane="bottomLeft"/>
      <selection pane="bottomRight" activeCell="A7" sqref="$A7:$XFD7"/>
    </sheetView>
  </sheetViews>
  <sheetFormatPr defaultColWidth="8.67592592592593" defaultRowHeight="14.4"/>
  <cols>
    <col min="1" max="1" width="22" customWidth="1"/>
    <col min="2" max="74" width="12" customWidth="1"/>
  </cols>
  <sheetData>
    <row r="1" ht="19.5" customHeight="1" spans="1:74">
      <c r="A1" s="1" t="s">
        <v>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19.5" customHeight="1" spans="1:74">
      <c r="A2" s="2" t="s">
        <v>1</v>
      </c>
      <c r="B2" s="3">
        <v>45655</v>
      </c>
      <c r="C2" s="3">
        <v>45662</v>
      </c>
      <c r="D2" s="3">
        <v>45669</v>
      </c>
      <c r="E2" s="3">
        <v>45676</v>
      </c>
      <c r="F2" s="3">
        <v>45683</v>
      </c>
      <c r="G2" s="3">
        <v>45690</v>
      </c>
      <c r="H2" s="3">
        <v>45697</v>
      </c>
      <c r="I2" s="3">
        <v>45704</v>
      </c>
      <c r="J2" s="3">
        <v>45711</v>
      </c>
      <c r="K2" s="3">
        <v>45718</v>
      </c>
      <c r="L2" s="3">
        <v>45725</v>
      </c>
      <c r="M2" s="3">
        <v>45732</v>
      </c>
      <c r="N2" s="3">
        <v>45739</v>
      </c>
      <c r="O2" s="3">
        <v>45746</v>
      </c>
      <c r="P2" s="3">
        <v>45753</v>
      </c>
      <c r="Q2" s="3">
        <v>45760</v>
      </c>
      <c r="R2" s="3">
        <v>45767</v>
      </c>
      <c r="S2" s="3">
        <v>45774</v>
      </c>
      <c r="T2" s="3">
        <v>45781</v>
      </c>
      <c r="U2" s="3">
        <v>45788</v>
      </c>
      <c r="V2" s="3">
        <v>45795</v>
      </c>
      <c r="W2" s="3">
        <v>45802</v>
      </c>
      <c r="X2" s="3">
        <v>45809</v>
      </c>
      <c r="Y2" s="3">
        <v>45816</v>
      </c>
      <c r="Z2" s="3">
        <v>45823</v>
      </c>
      <c r="AA2" s="3">
        <v>45830</v>
      </c>
      <c r="AB2" s="3">
        <v>45837</v>
      </c>
      <c r="AC2" s="3">
        <v>45844</v>
      </c>
      <c r="AD2" s="3">
        <v>45851</v>
      </c>
      <c r="AE2" s="3">
        <v>45858</v>
      </c>
      <c r="AF2" s="3">
        <v>45865</v>
      </c>
      <c r="AG2" s="3">
        <v>45872</v>
      </c>
      <c r="AH2" s="3">
        <v>45879</v>
      </c>
      <c r="AI2" s="3">
        <v>45886</v>
      </c>
      <c r="AJ2" s="3">
        <v>45893</v>
      </c>
      <c r="AK2" s="3">
        <v>45900</v>
      </c>
      <c r="AL2" s="3">
        <v>45907</v>
      </c>
      <c r="AM2" s="3">
        <v>45914</v>
      </c>
      <c r="AN2" s="3">
        <v>45921</v>
      </c>
      <c r="AO2" s="3">
        <v>45928</v>
      </c>
      <c r="AP2" s="3">
        <v>45935</v>
      </c>
      <c r="AQ2" s="3">
        <v>45942</v>
      </c>
      <c r="AR2" s="3">
        <v>45949</v>
      </c>
      <c r="AS2" s="3">
        <v>45956</v>
      </c>
      <c r="AT2" s="3">
        <v>45963</v>
      </c>
      <c r="AU2" s="3">
        <v>45970</v>
      </c>
      <c r="AV2" s="3">
        <v>45977</v>
      </c>
      <c r="AW2" s="3">
        <v>45984</v>
      </c>
      <c r="AX2" s="3">
        <v>45991</v>
      </c>
      <c r="AY2" s="3">
        <v>45998</v>
      </c>
      <c r="AZ2" s="3">
        <v>46005</v>
      </c>
      <c r="BA2" s="3">
        <v>46012</v>
      </c>
      <c r="BB2" s="3">
        <v>46019</v>
      </c>
      <c r="BC2" s="3">
        <v>46026</v>
      </c>
      <c r="BD2" s="3">
        <v>46033</v>
      </c>
      <c r="BE2" s="3">
        <v>46040</v>
      </c>
      <c r="BF2" s="3">
        <v>46047</v>
      </c>
      <c r="BG2" s="3">
        <v>46054</v>
      </c>
      <c r="BH2" s="3">
        <v>46061</v>
      </c>
      <c r="BI2" s="3">
        <v>46068</v>
      </c>
      <c r="BJ2" s="3">
        <v>46075</v>
      </c>
      <c r="BK2" s="3">
        <v>46082</v>
      </c>
      <c r="BL2" s="3">
        <v>46089</v>
      </c>
      <c r="BM2" s="3">
        <v>46096</v>
      </c>
      <c r="BN2" s="3">
        <v>46103</v>
      </c>
      <c r="BO2" s="3">
        <v>46110</v>
      </c>
      <c r="BP2" s="3">
        <v>46117</v>
      </c>
      <c r="BQ2" s="3">
        <v>46124</v>
      </c>
      <c r="BR2" s="3">
        <v>46131</v>
      </c>
      <c r="BS2" s="3">
        <v>46138</v>
      </c>
      <c r="BT2" s="3">
        <v>46145</v>
      </c>
      <c r="BU2" s="3">
        <v>46152</v>
      </c>
      <c r="BV2" s="4" t="s">
        <v>2</v>
      </c>
    </row>
    <row r="3" ht="16.5" customHeight="1" spans="1:74">
      <c r="A3" s="5" t="s">
        <v>3</v>
      </c>
      <c r="B3" s="6">
        <v>52600</v>
      </c>
      <c r="C3" s="6">
        <v>52500</v>
      </c>
      <c r="D3" s="6">
        <v>52200</v>
      </c>
      <c r="E3" s="6">
        <v>52200</v>
      </c>
      <c r="F3" s="6">
        <v>52200</v>
      </c>
      <c r="G3" s="6">
        <v>52700</v>
      </c>
      <c r="H3" s="6">
        <v>52700</v>
      </c>
      <c r="I3" s="6">
        <v>52600</v>
      </c>
      <c r="J3" s="6">
        <v>53200</v>
      </c>
      <c r="K3" s="6">
        <v>54300</v>
      </c>
      <c r="L3" s="6">
        <v>54400</v>
      </c>
      <c r="M3" s="6">
        <v>55000</v>
      </c>
      <c r="N3" s="6">
        <v>56000</v>
      </c>
      <c r="O3" s="6">
        <v>57000</v>
      </c>
      <c r="P3" s="6">
        <v>57200</v>
      </c>
      <c r="Q3" s="6">
        <v>57100</v>
      </c>
      <c r="R3" s="6">
        <v>56900</v>
      </c>
      <c r="S3" s="6">
        <v>56800</v>
      </c>
      <c r="T3" s="6">
        <v>56700</v>
      </c>
      <c r="U3" s="6">
        <v>56400</v>
      </c>
      <c r="V3" s="6">
        <v>56000</v>
      </c>
      <c r="W3" s="6">
        <v>55500</v>
      </c>
      <c r="X3" s="6">
        <v>54300</v>
      </c>
      <c r="Y3" s="6">
        <v>53200</v>
      </c>
      <c r="Z3" s="6">
        <v>51900</v>
      </c>
      <c r="AA3" s="6">
        <v>50700</v>
      </c>
      <c r="AB3" s="6">
        <v>49900</v>
      </c>
      <c r="AC3" s="6">
        <v>49200</v>
      </c>
      <c r="AD3" s="6">
        <v>48400</v>
      </c>
      <c r="AE3" s="6">
        <v>47500</v>
      </c>
      <c r="AF3" s="6">
        <v>48000</v>
      </c>
      <c r="AG3" s="6">
        <v>48800</v>
      </c>
      <c r="AH3" s="6">
        <v>48400</v>
      </c>
      <c r="AI3" s="6">
        <v>47900</v>
      </c>
      <c r="AJ3" s="6">
        <v>47300</v>
      </c>
      <c r="AK3" s="6">
        <v>47300</v>
      </c>
      <c r="AL3" s="6">
        <v>47200</v>
      </c>
      <c r="AM3" s="6">
        <v>47000</v>
      </c>
      <c r="AN3" s="6">
        <v>46800</v>
      </c>
      <c r="AO3" s="6">
        <v>47200</v>
      </c>
      <c r="AP3" s="6">
        <v>47100</v>
      </c>
      <c r="AQ3" s="6">
        <v>46900</v>
      </c>
      <c r="AR3" s="6">
        <v>46800</v>
      </c>
      <c r="AS3" s="6">
        <v>47300</v>
      </c>
      <c r="AT3" s="6">
        <v>47800</v>
      </c>
      <c r="AU3" s="6">
        <v>47300</v>
      </c>
      <c r="AV3" s="6">
        <v>46600</v>
      </c>
      <c r="AW3" s="6">
        <v>46300</v>
      </c>
      <c r="AX3" s="6">
        <v>47000</v>
      </c>
      <c r="AY3" s="6">
        <v>47500</v>
      </c>
      <c r="AZ3" s="6">
        <v>47500</v>
      </c>
      <c r="BA3" s="6">
        <v>49000</v>
      </c>
      <c r="BB3" s="6">
        <v>51900</v>
      </c>
      <c r="BC3" s="6">
        <v>52500</v>
      </c>
      <c r="BD3" s="6">
        <v>53800</v>
      </c>
      <c r="BE3" s="6">
        <v>55300</v>
      </c>
      <c r="BF3" s="6">
        <v>56700</v>
      </c>
      <c r="BG3" s="6">
        <v>58100</v>
      </c>
      <c r="BH3" s="6">
        <v>58600</v>
      </c>
      <c r="BI3" s="6">
        <v>58900</v>
      </c>
      <c r="BJ3" s="6">
        <v>59000</v>
      </c>
      <c r="BK3" s="6">
        <v>59100</v>
      </c>
      <c r="BL3" s="6">
        <v>59800</v>
      </c>
      <c r="BM3" s="6">
        <v>60000</v>
      </c>
      <c r="BN3" s="6">
        <v>60000</v>
      </c>
      <c r="BO3" s="6">
        <v>60000</v>
      </c>
      <c r="BP3" s="6">
        <v>60300</v>
      </c>
      <c r="BQ3" s="6">
        <v>60550</v>
      </c>
      <c r="BR3" s="6">
        <v>60450</v>
      </c>
      <c r="BS3" s="6">
        <v>59850</v>
      </c>
      <c r="BT3" s="6">
        <v>59700</v>
      </c>
      <c r="BU3" s="6">
        <v>59300</v>
      </c>
      <c r="BV3" s="7"/>
    </row>
    <row r="4" ht="16.5" customHeight="1" spans="1:74">
      <c r="A4" s="8" t="s">
        <v>4</v>
      </c>
      <c r="B4" s="9">
        <v>52123.977</v>
      </c>
      <c r="C4" s="9">
        <v>52494.406</v>
      </c>
      <c r="D4" s="9">
        <v>52418.004</v>
      </c>
      <c r="E4" s="9">
        <v>52014.832</v>
      </c>
      <c r="F4" s="9">
        <v>51588.621</v>
      </c>
      <c r="G4" s="9">
        <v>51619.551</v>
      </c>
      <c r="H4" s="9">
        <v>52138.832</v>
      </c>
      <c r="I4" s="9">
        <v>52162.453</v>
      </c>
      <c r="J4" s="9">
        <v>52029.598</v>
      </c>
      <c r="K4" s="9">
        <v>53380.25</v>
      </c>
      <c r="L4" s="9">
        <v>54731.844</v>
      </c>
      <c r="M4" s="9">
        <v>54788.297</v>
      </c>
      <c r="N4" s="9">
        <v>55433.41</v>
      </c>
      <c r="O4" s="9">
        <v>56378.434</v>
      </c>
      <c r="P4" s="9">
        <v>57136.32</v>
      </c>
      <c r="Q4" s="9">
        <v>57172.191</v>
      </c>
      <c r="R4" s="9">
        <v>57115.883</v>
      </c>
      <c r="S4" s="9">
        <v>56886.203</v>
      </c>
      <c r="T4" s="9">
        <v>56690.855</v>
      </c>
      <c r="U4" s="9">
        <v>56564.762</v>
      </c>
      <c r="V4" s="9">
        <v>56239.762</v>
      </c>
      <c r="W4" s="9">
        <v>55754.77</v>
      </c>
      <c r="X4" s="9">
        <v>55053.918</v>
      </c>
      <c r="Y4" s="9">
        <v>53893.445</v>
      </c>
      <c r="Z4" s="9">
        <v>52741.062</v>
      </c>
      <c r="AA4" s="9">
        <v>51344.457</v>
      </c>
      <c r="AB4" s="9">
        <v>50046.332</v>
      </c>
      <c r="AC4" s="9">
        <v>49329.391</v>
      </c>
      <c r="AD4" s="9">
        <v>48525.148</v>
      </c>
      <c r="AE4" s="9">
        <v>47864.035</v>
      </c>
      <c r="AF4" s="9">
        <v>46879.777</v>
      </c>
      <c r="AG4" s="9">
        <v>47620.922</v>
      </c>
      <c r="AH4" s="9">
        <v>48340.086</v>
      </c>
      <c r="AI4" s="9">
        <v>48094.762</v>
      </c>
      <c r="AJ4" s="9">
        <v>47763.773</v>
      </c>
      <c r="AK4" s="9">
        <v>47232.719</v>
      </c>
      <c r="AL4" s="9">
        <v>46807.574</v>
      </c>
      <c r="AM4" s="9">
        <v>46863.648</v>
      </c>
      <c r="AN4" s="9">
        <v>46784.555</v>
      </c>
      <c r="AO4" s="9">
        <v>46711.555</v>
      </c>
      <c r="AP4" s="9">
        <v>47326.34</v>
      </c>
      <c r="AQ4" s="9">
        <v>47441.105</v>
      </c>
      <c r="AR4" s="9">
        <v>47328.02</v>
      </c>
      <c r="AS4" s="9">
        <v>47007.457</v>
      </c>
      <c r="AT4" s="9">
        <v>47553.086</v>
      </c>
      <c r="AU4" s="9">
        <v>47955.457</v>
      </c>
      <c r="AV4" s="9">
        <v>47254.855</v>
      </c>
      <c r="AW4" s="9">
        <v>46695.883</v>
      </c>
      <c r="AX4" s="9">
        <v>46389.875</v>
      </c>
      <c r="AY4" s="9">
        <v>46600.734</v>
      </c>
      <c r="AZ4" s="9">
        <v>47062.852</v>
      </c>
      <c r="BA4" s="9">
        <v>47049.938</v>
      </c>
      <c r="BB4" s="9">
        <v>48963.781</v>
      </c>
      <c r="BC4" s="9">
        <v>51775.242</v>
      </c>
      <c r="BD4" s="9">
        <v>52480.984</v>
      </c>
      <c r="BE4" s="9">
        <v>53592.418</v>
      </c>
      <c r="BF4" s="9">
        <v>55570.211</v>
      </c>
      <c r="BG4" s="9">
        <v>56816.215</v>
      </c>
      <c r="BH4" s="9">
        <v>58047.992</v>
      </c>
      <c r="BI4" s="9">
        <v>58364.641</v>
      </c>
      <c r="BJ4" s="9">
        <v>58719.957</v>
      </c>
      <c r="BK4" s="9">
        <v>58830.371</v>
      </c>
      <c r="BL4" s="9">
        <v>58820.551</v>
      </c>
      <c r="BM4" s="9">
        <v>59358.008</v>
      </c>
      <c r="BN4" s="9">
        <v>59732.387</v>
      </c>
      <c r="BO4" s="9">
        <v>59732.254</v>
      </c>
      <c r="BP4" s="9">
        <v>59397.477</v>
      </c>
      <c r="BQ4" s="9">
        <v>60094.863</v>
      </c>
      <c r="BR4" s="9">
        <v>59937.508</v>
      </c>
      <c r="BS4" s="9">
        <v>60047.723</v>
      </c>
      <c r="BT4" s="9">
        <v>59685.91</v>
      </c>
      <c r="BU4" s="9">
        <v>59457.383</v>
      </c>
      <c r="BV4" s="7"/>
    </row>
    <row r="5" ht="16.5" customHeight="1" spans="1:74">
      <c r="A5" s="10" t="s">
        <v>5</v>
      </c>
      <c r="B5" s="11">
        <f t="shared" ref="B5:BM5" si="0">ABS(B3-B4)</f>
        <v>476.023000000001</v>
      </c>
      <c r="C5" s="11">
        <f t="shared" si="0"/>
        <v>5.59399999999732</v>
      </c>
      <c r="D5" s="11">
        <f t="shared" si="0"/>
        <v>218.004000000001</v>
      </c>
      <c r="E5" s="11">
        <f t="shared" si="0"/>
        <v>185.167999999998</v>
      </c>
      <c r="F5" s="11">
        <f t="shared" si="0"/>
        <v>611.379000000001</v>
      </c>
      <c r="G5" s="11">
        <f t="shared" si="0"/>
        <v>1080.449</v>
      </c>
      <c r="H5" s="11">
        <f t="shared" si="0"/>
        <v>561.167999999998</v>
      </c>
      <c r="I5" s="11">
        <f t="shared" si="0"/>
        <v>437.546999999999</v>
      </c>
      <c r="J5" s="11">
        <f t="shared" si="0"/>
        <v>1170.402</v>
      </c>
      <c r="K5" s="11">
        <f t="shared" si="0"/>
        <v>919.75</v>
      </c>
      <c r="L5" s="11">
        <f t="shared" si="0"/>
        <v>331.843999999997</v>
      </c>
      <c r="M5" s="11">
        <f t="shared" si="0"/>
        <v>211.703000000001</v>
      </c>
      <c r="N5" s="11">
        <f t="shared" si="0"/>
        <v>566.589999999997</v>
      </c>
      <c r="O5" s="11">
        <f t="shared" si="0"/>
        <v>621.565999999999</v>
      </c>
      <c r="P5" s="11">
        <f t="shared" si="0"/>
        <v>63.6800000000003</v>
      </c>
      <c r="Q5" s="11">
        <f t="shared" si="0"/>
        <v>72.1909999999989</v>
      </c>
      <c r="R5" s="11">
        <f t="shared" si="0"/>
        <v>215.883000000002</v>
      </c>
      <c r="S5" s="11">
        <f t="shared" si="0"/>
        <v>86.2030000000013</v>
      </c>
      <c r="T5" s="11">
        <f t="shared" si="0"/>
        <v>9.1449999999968</v>
      </c>
      <c r="U5" s="11">
        <f t="shared" si="0"/>
        <v>164.762000000002</v>
      </c>
      <c r="V5" s="11">
        <f t="shared" si="0"/>
        <v>239.762000000002</v>
      </c>
      <c r="W5" s="11">
        <f t="shared" si="0"/>
        <v>254.769999999997</v>
      </c>
      <c r="X5" s="11">
        <f t="shared" si="0"/>
        <v>753.917999999998</v>
      </c>
      <c r="Y5" s="11">
        <f t="shared" si="0"/>
        <v>693.445</v>
      </c>
      <c r="Z5" s="11">
        <f t="shared" si="0"/>
        <v>841.061999999998</v>
      </c>
      <c r="AA5" s="11">
        <f t="shared" si="0"/>
        <v>644.457000000002</v>
      </c>
      <c r="AB5" s="11">
        <f t="shared" si="0"/>
        <v>146.332000000002</v>
      </c>
      <c r="AC5" s="11">
        <f t="shared" si="0"/>
        <v>129.391000000003</v>
      </c>
      <c r="AD5" s="11">
        <f t="shared" si="0"/>
        <v>125.148000000001</v>
      </c>
      <c r="AE5" s="11">
        <f t="shared" si="0"/>
        <v>364.035000000003</v>
      </c>
      <c r="AF5" s="11">
        <f t="shared" si="0"/>
        <v>1120.223</v>
      </c>
      <c r="AG5" s="11">
        <f t="shared" si="0"/>
        <v>1179.078</v>
      </c>
      <c r="AH5" s="11">
        <f t="shared" si="0"/>
        <v>59.913999999997</v>
      </c>
      <c r="AI5" s="11">
        <f t="shared" si="0"/>
        <v>194.762000000002</v>
      </c>
      <c r="AJ5" s="11">
        <f t="shared" si="0"/>
        <v>463.773000000001</v>
      </c>
      <c r="AK5" s="11">
        <f t="shared" si="0"/>
        <v>67.2810000000027</v>
      </c>
      <c r="AL5" s="11">
        <f t="shared" si="0"/>
        <v>392.425999999999</v>
      </c>
      <c r="AM5" s="11">
        <f t="shared" si="0"/>
        <v>136.351999999999</v>
      </c>
      <c r="AN5" s="11">
        <f t="shared" si="0"/>
        <v>15.4449999999997</v>
      </c>
      <c r="AO5" s="11">
        <f t="shared" si="0"/>
        <v>488.445</v>
      </c>
      <c r="AP5" s="11">
        <f t="shared" si="0"/>
        <v>226.339999999997</v>
      </c>
      <c r="AQ5" s="11">
        <f t="shared" si="0"/>
        <v>541.105000000003</v>
      </c>
      <c r="AR5" s="11">
        <f t="shared" si="0"/>
        <v>528.019999999997</v>
      </c>
      <c r="AS5" s="11">
        <f t="shared" si="0"/>
        <v>292.542999999998</v>
      </c>
      <c r="AT5" s="11">
        <f t="shared" si="0"/>
        <v>246.913999999997</v>
      </c>
      <c r="AU5" s="11">
        <f t="shared" si="0"/>
        <v>655.457000000002</v>
      </c>
      <c r="AV5" s="11">
        <f t="shared" si="0"/>
        <v>654.855000000003</v>
      </c>
      <c r="AW5" s="11">
        <f t="shared" si="0"/>
        <v>395.883000000002</v>
      </c>
      <c r="AX5" s="11">
        <f t="shared" si="0"/>
        <v>610.125</v>
      </c>
      <c r="AY5" s="11">
        <f t="shared" si="0"/>
        <v>899.266000000003</v>
      </c>
      <c r="AZ5" s="11">
        <f t="shared" si="0"/>
        <v>437.148000000001</v>
      </c>
      <c r="BA5" s="11">
        <f t="shared" si="0"/>
        <v>1950.062</v>
      </c>
      <c r="BB5" s="11">
        <f t="shared" si="0"/>
        <v>2936.219</v>
      </c>
      <c r="BC5" s="11">
        <f t="shared" si="0"/>
        <v>724.758000000002</v>
      </c>
      <c r="BD5" s="11">
        <f t="shared" si="0"/>
        <v>1319.016</v>
      </c>
      <c r="BE5" s="11">
        <f t="shared" si="0"/>
        <v>1707.582</v>
      </c>
      <c r="BF5" s="11">
        <f t="shared" si="0"/>
        <v>1129.789</v>
      </c>
      <c r="BG5" s="11">
        <f t="shared" si="0"/>
        <v>1283.785</v>
      </c>
      <c r="BH5" s="11">
        <f t="shared" si="0"/>
        <v>552.008000000002</v>
      </c>
      <c r="BI5" s="11">
        <f t="shared" si="0"/>
        <v>535.358999999997</v>
      </c>
      <c r="BJ5" s="11">
        <f t="shared" si="0"/>
        <v>280.042999999998</v>
      </c>
      <c r="BK5" s="11">
        <f t="shared" si="0"/>
        <v>269.629000000001</v>
      </c>
      <c r="BL5" s="11">
        <f t="shared" si="0"/>
        <v>979.449000000001</v>
      </c>
      <c r="BM5" s="11">
        <f t="shared" si="0"/>
        <v>641.991999999998</v>
      </c>
      <c r="BN5" s="11">
        <f t="shared" ref="BN5:BU5" si="1">ABS(BN3-BN4)</f>
        <v>267.612999999998</v>
      </c>
      <c r="BO5" s="11">
        <f t="shared" si="1"/>
        <v>267.745999999999</v>
      </c>
      <c r="BP5" s="11">
        <f t="shared" si="1"/>
        <v>902.523000000001</v>
      </c>
      <c r="BQ5" s="11">
        <f t="shared" si="1"/>
        <v>455.137000000002</v>
      </c>
      <c r="BR5" s="11">
        <f t="shared" si="1"/>
        <v>512.491999999998</v>
      </c>
      <c r="BS5" s="11">
        <f t="shared" si="1"/>
        <v>197.722999999998</v>
      </c>
      <c r="BT5" s="11">
        <f t="shared" si="1"/>
        <v>14.0899999999965</v>
      </c>
      <c r="BU5" s="11">
        <f t="shared" si="1"/>
        <v>157.383000000002</v>
      </c>
      <c r="BV5" s="7">
        <f>AVERAGE(B5:BU5)</f>
        <v>540.1545</v>
      </c>
    </row>
    <row r="6" ht="16.5" customHeight="1" spans="1:74">
      <c r="A6" s="12" t="s">
        <v>6</v>
      </c>
      <c r="B6" s="13">
        <f t="shared" ref="B6:BM6" si="2">IF(B3=0,"-",ABS(B3-B4)/B3*100)</f>
        <v>0.904986692015211</v>
      </c>
      <c r="C6" s="13">
        <f t="shared" si="2"/>
        <v>0.010655238095233</v>
      </c>
      <c r="D6" s="13">
        <f t="shared" si="2"/>
        <v>0.417632183908048</v>
      </c>
      <c r="E6" s="13">
        <f t="shared" si="2"/>
        <v>0.354727969348655</v>
      </c>
      <c r="F6" s="13">
        <f t="shared" si="2"/>
        <v>1.17122413793104</v>
      </c>
      <c r="G6" s="13">
        <f t="shared" si="2"/>
        <v>2.05018785578748</v>
      </c>
      <c r="H6" s="13">
        <f t="shared" si="2"/>
        <v>1.064834914611</v>
      </c>
      <c r="I6" s="13">
        <f t="shared" si="2"/>
        <v>0.831838403041823</v>
      </c>
      <c r="J6" s="13">
        <f t="shared" si="2"/>
        <v>2.2000037593985</v>
      </c>
      <c r="K6" s="13">
        <f t="shared" si="2"/>
        <v>1.69383057090239</v>
      </c>
      <c r="L6" s="13">
        <f t="shared" si="2"/>
        <v>0.610007352941171</v>
      </c>
      <c r="M6" s="13">
        <f t="shared" si="2"/>
        <v>0.384914545454548</v>
      </c>
      <c r="N6" s="13">
        <f t="shared" si="2"/>
        <v>1.01176785714285</v>
      </c>
      <c r="O6" s="13">
        <f t="shared" si="2"/>
        <v>1.09046666666666</v>
      </c>
      <c r="P6" s="13">
        <f t="shared" si="2"/>
        <v>0.111328671328672</v>
      </c>
      <c r="Q6" s="13">
        <f t="shared" si="2"/>
        <v>0.126429071803851</v>
      </c>
      <c r="R6" s="13">
        <f t="shared" si="2"/>
        <v>0.379407732864678</v>
      </c>
      <c r="S6" s="13">
        <f t="shared" si="2"/>
        <v>0.151765845070425</v>
      </c>
      <c r="T6" s="13">
        <f t="shared" si="2"/>
        <v>0.0161287477954088</v>
      </c>
      <c r="U6" s="13">
        <f t="shared" si="2"/>
        <v>0.292131205673763</v>
      </c>
      <c r="V6" s="13">
        <f t="shared" si="2"/>
        <v>0.428146428571433</v>
      </c>
      <c r="W6" s="13">
        <f t="shared" si="2"/>
        <v>0.459045045045039</v>
      </c>
      <c r="X6" s="13">
        <f t="shared" si="2"/>
        <v>1.38843093922652</v>
      </c>
      <c r="Y6" s="13">
        <f t="shared" si="2"/>
        <v>1.30346804511278</v>
      </c>
      <c r="Z6" s="13">
        <f t="shared" si="2"/>
        <v>1.62054335260115</v>
      </c>
      <c r="AA6" s="13">
        <f t="shared" si="2"/>
        <v>1.27111834319527</v>
      </c>
      <c r="AB6" s="13">
        <f t="shared" si="2"/>
        <v>0.293250501002008</v>
      </c>
      <c r="AC6" s="13">
        <f t="shared" si="2"/>
        <v>0.262989837398381</v>
      </c>
      <c r="AD6" s="13">
        <f t="shared" si="2"/>
        <v>0.258570247933886</v>
      </c>
      <c r="AE6" s="13">
        <f t="shared" si="2"/>
        <v>0.766389473684218</v>
      </c>
      <c r="AF6" s="13">
        <f t="shared" si="2"/>
        <v>2.33379791666666</v>
      </c>
      <c r="AG6" s="13">
        <f t="shared" si="2"/>
        <v>2.41614344262295</v>
      </c>
      <c r="AH6" s="13">
        <f t="shared" si="2"/>
        <v>0.123789256198341</v>
      </c>
      <c r="AI6" s="13">
        <f t="shared" si="2"/>
        <v>0.406601252609608</v>
      </c>
      <c r="AJ6" s="13">
        <f t="shared" si="2"/>
        <v>0.980492600422835</v>
      </c>
      <c r="AK6" s="13">
        <f t="shared" si="2"/>
        <v>0.142243128964065</v>
      </c>
      <c r="AL6" s="13">
        <f t="shared" si="2"/>
        <v>0.831411016949151</v>
      </c>
      <c r="AM6" s="13">
        <f t="shared" si="2"/>
        <v>0.29011063829787</v>
      </c>
      <c r="AN6" s="13">
        <f t="shared" si="2"/>
        <v>0.0330021367521361</v>
      </c>
      <c r="AO6" s="13">
        <f t="shared" si="2"/>
        <v>1.03484110169491</v>
      </c>
      <c r="AP6" s="13">
        <f t="shared" si="2"/>
        <v>0.480552016985131</v>
      </c>
      <c r="AQ6" s="13">
        <f t="shared" si="2"/>
        <v>1.1537420042644</v>
      </c>
      <c r="AR6" s="13">
        <f t="shared" si="2"/>
        <v>1.12824786324786</v>
      </c>
      <c r="AS6" s="13">
        <f t="shared" si="2"/>
        <v>0.618484143763209</v>
      </c>
      <c r="AT6" s="13">
        <f t="shared" si="2"/>
        <v>0.516556485355642</v>
      </c>
      <c r="AU6" s="13">
        <f t="shared" si="2"/>
        <v>1.38574418604652</v>
      </c>
      <c r="AV6" s="13">
        <f t="shared" si="2"/>
        <v>1.40526824034335</v>
      </c>
      <c r="AW6" s="13">
        <f t="shared" si="2"/>
        <v>0.855038876889852</v>
      </c>
      <c r="AX6" s="13">
        <f t="shared" si="2"/>
        <v>1.29813829787234</v>
      </c>
      <c r="AY6" s="13">
        <f t="shared" si="2"/>
        <v>1.89319157894738</v>
      </c>
      <c r="AZ6" s="13">
        <f t="shared" si="2"/>
        <v>0.920311578947371</v>
      </c>
      <c r="BA6" s="13">
        <f t="shared" si="2"/>
        <v>3.97971836734693</v>
      </c>
      <c r="BB6" s="13">
        <f t="shared" si="2"/>
        <v>5.65745472061657</v>
      </c>
      <c r="BC6" s="13">
        <f t="shared" si="2"/>
        <v>1.38049142857143</v>
      </c>
      <c r="BD6" s="13">
        <f t="shared" si="2"/>
        <v>2.45170260223049</v>
      </c>
      <c r="BE6" s="13">
        <f t="shared" si="2"/>
        <v>3.08785171790235</v>
      </c>
      <c r="BF6" s="13">
        <f t="shared" si="2"/>
        <v>1.99257319223985</v>
      </c>
      <c r="BG6" s="13">
        <f t="shared" si="2"/>
        <v>2.20961273666094</v>
      </c>
      <c r="BH6" s="13">
        <f t="shared" si="2"/>
        <v>0.941993174061436</v>
      </c>
      <c r="BI6" s="13">
        <f t="shared" si="2"/>
        <v>0.908928692699485</v>
      </c>
      <c r="BJ6" s="13">
        <f t="shared" si="2"/>
        <v>0.474649152542369</v>
      </c>
      <c r="BK6" s="13">
        <f t="shared" si="2"/>
        <v>0.456225042301186</v>
      </c>
      <c r="BL6" s="13">
        <f t="shared" si="2"/>
        <v>1.6378745819398</v>
      </c>
      <c r="BM6" s="13">
        <f t="shared" si="2"/>
        <v>1.06998666666666</v>
      </c>
      <c r="BN6" s="13">
        <f t="shared" ref="BN6:BU6" si="3">IF(BN3=0,"-",ABS(BN3-BN4)/BN3*100)</f>
        <v>0.446021666666663</v>
      </c>
      <c r="BO6" s="13">
        <f t="shared" si="3"/>
        <v>0.446243333333332</v>
      </c>
      <c r="BP6" s="13">
        <f t="shared" si="3"/>
        <v>1.49672139303483</v>
      </c>
      <c r="BQ6" s="13">
        <f t="shared" si="3"/>
        <v>0.751671345995049</v>
      </c>
      <c r="BR6" s="13">
        <f t="shared" si="3"/>
        <v>0.847794871794869</v>
      </c>
      <c r="BS6" s="13">
        <f t="shared" si="3"/>
        <v>0.330364243943188</v>
      </c>
      <c r="BT6" s="13">
        <f t="shared" si="3"/>
        <v>0.023601340033495</v>
      </c>
      <c r="BU6" s="13">
        <f t="shared" si="3"/>
        <v>0.265401349072515</v>
      </c>
      <c r="BV6" s="14">
        <f>AVERAGEIF(B6:BU6,"&lt;&gt;-")</f>
        <v>1.02820570859788</v>
      </c>
    </row>
    <row r="7" ht="16.5" customHeight="1" spans="1:74">
      <c r="A7" s="15" t="s">
        <v>7</v>
      </c>
      <c r="B7" s="16">
        <f t="shared" ref="B7:BM7" si="4">100-B6</f>
        <v>99.0950133079848</v>
      </c>
      <c r="C7" s="16">
        <f t="shared" si="4"/>
        <v>99.9893447619048</v>
      </c>
      <c r="D7" s="16">
        <f t="shared" si="4"/>
        <v>99.5823678160919</v>
      </c>
      <c r="E7" s="16">
        <f t="shared" si="4"/>
        <v>99.6452720306513</v>
      </c>
      <c r="F7" s="16">
        <f t="shared" si="4"/>
        <v>98.828775862069</v>
      </c>
      <c r="G7" s="16">
        <f t="shared" si="4"/>
        <v>97.9498121442125</v>
      </c>
      <c r="H7" s="16">
        <f t="shared" si="4"/>
        <v>98.935165085389</v>
      </c>
      <c r="I7" s="16">
        <f t="shared" si="4"/>
        <v>99.1681615969582</v>
      </c>
      <c r="J7" s="16">
        <f t="shared" si="4"/>
        <v>97.7999962406015</v>
      </c>
      <c r="K7" s="16">
        <f t="shared" si="4"/>
        <v>98.3061694290976</v>
      </c>
      <c r="L7" s="16">
        <f t="shared" si="4"/>
        <v>99.3899926470588</v>
      </c>
      <c r="M7" s="16">
        <f t="shared" si="4"/>
        <v>99.6150854545455</v>
      </c>
      <c r="N7" s="16">
        <f t="shared" si="4"/>
        <v>98.9882321428571</v>
      </c>
      <c r="O7" s="16">
        <f t="shared" si="4"/>
        <v>98.9095333333333</v>
      </c>
      <c r="P7" s="16">
        <f t="shared" si="4"/>
        <v>99.8886713286713</v>
      </c>
      <c r="Q7" s="16">
        <f t="shared" si="4"/>
        <v>99.8735709281961</v>
      </c>
      <c r="R7" s="16">
        <f t="shared" si="4"/>
        <v>99.6205922671353</v>
      </c>
      <c r="S7" s="16">
        <f t="shared" si="4"/>
        <v>99.8482341549296</v>
      </c>
      <c r="T7" s="16">
        <f t="shared" si="4"/>
        <v>99.9838712522046</v>
      </c>
      <c r="U7" s="16">
        <f t="shared" si="4"/>
        <v>99.7078687943262</v>
      </c>
      <c r="V7" s="16">
        <f t="shared" si="4"/>
        <v>99.5718535714286</v>
      </c>
      <c r="W7" s="16">
        <f t="shared" si="4"/>
        <v>99.540954954955</v>
      </c>
      <c r="X7" s="16">
        <f t="shared" si="4"/>
        <v>98.6115690607735</v>
      </c>
      <c r="Y7" s="16">
        <f t="shared" si="4"/>
        <v>98.6965319548872</v>
      </c>
      <c r="Z7" s="16">
        <f t="shared" si="4"/>
        <v>98.3794566473989</v>
      </c>
      <c r="AA7" s="16">
        <f t="shared" si="4"/>
        <v>98.7288816568047</v>
      </c>
      <c r="AB7" s="16">
        <f t="shared" si="4"/>
        <v>99.706749498998</v>
      </c>
      <c r="AC7" s="16">
        <f t="shared" si="4"/>
        <v>99.7370101626016</v>
      </c>
      <c r="AD7" s="16">
        <f t="shared" si="4"/>
        <v>99.7414297520661</v>
      </c>
      <c r="AE7" s="16">
        <f t="shared" si="4"/>
        <v>99.2336105263158</v>
      </c>
      <c r="AF7" s="16">
        <f t="shared" si="4"/>
        <v>97.6662020833333</v>
      </c>
      <c r="AG7" s="16">
        <f t="shared" si="4"/>
        <v>97.583856557377</v>
      </c>
      <c r="AH7" s="16">
        <f t="shared" si="4"/>
        <v>99.8762107438017</v>
      </c>
      <c r="AI7" s="16">
        <f t="shared" si="4"/>
        <v>99.5933987473904</v>
      </c>
      <c r="AJ7" s="16">
        <f t="shared" si="4"/>
        <v>99.0195073995772</v>
      </c>
      <c r="AK7" s="16">
        <f t="shared" si="4"/>
        <v>99.8577568710359</v>
      </c>
      <c r="AL7" s="16">
        <f t="shared" si="4"/>
        <v>99.1685889830509</v>
      </c>
      <c r="AM7" s="16">
        <f t="shared" si="4"/>
        <v>99.7098893617021</v>
      </c>
      <c r="AN7" s="16">
        <f t="shared" si="4"/>
        <v>99.9669978632479</v>
      </c>
      <c r="AO7" s="16">
        <f t="shared" si="4"/>
        <v>98.9651588983051</v>
      </c>
      <c r="AP7" s="16">
        <f t="shared" si="4"/>
        <v>99.5194479830149</v>
      </c>
      <c r="AQ7" s="16">
        <f t="shared" si="4"/>
        <v>98.8462579957356</v>
      </c>
      <c r="AR7" s="16">
        <f t="shared" si="4"/>
        <v>98.8717521367521</v>
      </c>
      <c r="AS7" s="16">
        <f t="shared" si="4"/>
        <v>99.3815158562368</v>
      </c>
      <c r="AT7" s="16">
        <f t="shared" si="4"/>
        <v>99.4834435146444</v>
      </c>
      <c r="AU7" s="16">
        <f t="shared" si="4"/>
        <v>98.6142558139535</v>
      </c>
      <c r="AV7" s="16">
        <f t="shared" si="4"/>
        <v>98.5947317596566</v>
      </c>
      <c r="AW7" s="16">
        <f t="shared" si="4"/>
        <v>99.1449611231101</v>
      </c>
      <c r="AX7" s="16">
        <f t="shared" si="4"/>
        <v>98.7018617021277</v>
      </c>
      <c r="AY7" s="16">
        <f t="shared" si="4"/>
        <v>98.1068084210526</v>
      </c>
      <c r="AZ7" s="16">
        <f t="shared" si="4"/>
        <v>99.0796884210526</v>
      </c>
      <c r="BA7" s="16">
        <f t="shared" si="4"/>
        <v>96.0202816326531</v>
      </c>
      <c r="BB7" s="16">
        <f t="shared" si="4"/>
        <v>94.3425452793834</v>
      </c>
      <c r="BC7" s="16">
        <f t="shared" si="4"/>
        <v>98.6195085714286</v>
      </c>
      <c r="BD7" s="16">
        <f t="shared" si="4"/>
        <v>97.5482973977695</v>
      </c>
      <c r="BE7" s="16">
        <f t="shared" si="4"/>
        <v>96.9121482820976</v>
      </c>
      <c r="BF7" s="16">
        <f t="shared" si="4"/>
        <v>98.0074268077601</v>
      </c>
      <c r="BG7" s="16">
        <f t="shared" si="4"/>
        <v>97.7903872633391</v>
      </c>
      <c r="BH7" s="16">
        <f t="shared" si="4"/>
        <v>99.0580068259386</v>
      </c>
      <c r="BI7" s="16">
        <f t="shared" si="4"/>
        <v>99.0910713073005</v>
      </c>
      <c r="BJ7" s="16">
        <f t="shared" si="4"/>
        <v>99.5253508474576</v>
      </c>
      <c r="BK7" s="16">
        <f t="shared" si="4"/>
        <v>99.5437749576988</v>
      </c>
      <c r="BL7" s="16">
        <f t="shared" si="4"/>
        <v>98.3621254180602</v>
      </c>
      <c r="BM7" s="16">
        <f t="shared" si="4"/>
        <v>98.9300133333333</v>
      </c>
      <c r="BN7" s="16">
        <f t="shared" ref="BN7:BU7" si="5">100-BN6</f>
        <v>99.5539783333333</v>
      </c>
      <c r="BO7" s="16">
        <f t="shared" si="5"/>
        <v>99.5537566666667</v>
      </c>
      <c r="BP7" s="16">
        <f t="shared" si="5"/>
        <v>98.5032786069652</v>
      </c>
      <c r="BQ7" s="16">
        <f t="shared" si="5"/>
        <v>99.248328654005</v>
      </c>
      <c r="BR7" s="16">
        <f t="shared" si="5"/>
        <v>99.1522051282051</v>
      </c>
      <c r="BS7" s="16">
        <f t="shared" si="5"/>
        <v>99.6696357560568</v>
      </c>
      <c r="BT7" s="16">
        <f t="shared" si="5"/>
        <v>99.9763986599665</v>
      </c>
      <c r="BU7" s="16">
        <f t="shared" si="5"/>
        <v>99.7345986509275</v>
      </c>
      <c r="BV7" s="14">
        <f>AVERAGEIF(B7:BU7,"&lt;&gt;-")</f>
        <v>98.9717942914021</v>
      </c>
    </row>
    <row r="8" ht="16.5" customHeight="1" spans="1:74">
      <c r="A8" s="15" t="s">
        <v>8</v>
      </c>
      <c r="B8" s="16" t="s">
        <v>9</v>
      </c>
      <c r="C8" s="17">
        <f t="shared" ref="C8:BN8" si="6">IF(AND(ABS(C3-B3)&lt;500,ABS(C4-B3)&lt;500),100,IF(AND(ABS(C3-B3)&lt;500,ABS(C4-B3)&gt;=500),0,IF((C3-B3)*(C4-B3)&gt;0,100,0)))</f>
        <v>100</v>
      </c>
      <c r="D8" s="17">
        <f t="shared" si="6"/>
        <v>100</v>
      </c>
      <c r="E8" s="17">
        <f t="shared" si="6"/>
        <v>100</v>
      </c>
      <c r="F8" s="17">
        <f t="shared" si="6"/>
        <v>0</v>
      </c>
      <c r="G8" s="17">
        <f t="shared" si="6"/>
        <v>0</v>
      </c>
      <c r="H8" s="17">
        <f t="shared" si="6"/>
        <v>0</v>
      </c>
      <c r="I8" s="17">
        <f t="shared" si="6"/>
        <v>0</v>
      </c>
      <c r="J8" s="17">
        <f t="shared" si="6"/>
        <v>0</v>
      </c>
      <c r="K8" s="17">
        <f t="shared" si="6"/>
        <v>100</v>
      </c>
      <c r="L8" s="17">
        <f t="shared" si="6"/>
        <v>100</v>
      </c>
      <c r="M8" s="17">
        <f t="shared" si="6"/>
        <v>100</v>
      </c>
      <c r="N8" s="17">
        <f t="shared" si="6"/>
        <v>100</v>
      </c>
      <c r="O8" s="17">
        <f t="shared" si="6"/>
        <v>100</v>
      </c>
      <c r="P8" s="17">
        <f t="shared" si="6"/>
        <v>100</v>
      </c>
      <c r="Q8" s="17">
        <f t="shared" si="6"/>
        <v>100</v>
      </c>
      <c r="R8" s="17">
        <f t="shared" si="6"/>
        <v>100</v>
      </c>
      <c r="S8" s="17">
        <f t="shared" si="6"/>
        <v>100</v>
      </c>
      <c r="T8" s="17">
        <f t="shared" si="6"/>
        <v>100</v>
      </c>
      <c r="U8" s="17">
        <f t="shared" si="6"/>
        <v>100</v>
      </c>
      <c r="V8" s="17">
        <f t="shared" si="6"/>
        <v>100</v>
      </c>
      <c r="W8" s="17">
        <f t="shared" si="6"/>
        <v>100</v>
      </c>
      <c r="X8" s="17">
        <f t="shared" si="6"/>
        <v>100</v>
      </c>
      <c r="Y8" s="17">
        <f t="shared" si="6"/>
        <v>100</v>
      </c>
      <c r="Z8" s="17">
        <f t="shared" si="6"/>
        <v>100</v>
      </c>
      <c r="AA8" s="17">
        <f t="shared" si="6"/>
        <v>100</v>
      </c>
      <c r="AB8" s="17">
        <f t="shared" si="6"/>
        <v>100</v>
      </c>
      <c r="AC8" s="17">
        <f t="shared" si="6"/>
        <v>100</v>
      </c>
      <c r="AD8" s="17">
        <f t="shared" si="6"/>
        <v>100</v>
      </c>
      <c r="AE8" s="17">
        <f t="shared" si="6"/>
        <v>100</v>
      </c>
      <c r="AF8" s="17">
        <f t="shared" si="6"/>
        <v>0</v>
      </c>
      <c r="AG8" s="17">
        <f t="shared" si="6"/>
        <v>0</v>
      </c>
      <c r="AH8" s="17">
        <f t="shared" si="6"/>
        <v>100</v>
      </c>
      <c r="AI8" s="17">
        <f t="shared" si="6"/>
        <v>100</v>
      </c>
      <c r="AJ8" s="17">
        <f t="shared" si="6"/>
        <v>100</v>
      </c>
      <c r="AK8" s="17">
        <f t="shared" si="6"/>
        <v>100</v>
      </c>
      <c r="AL8" s="17">
        <f t="shared" si="6"/>
        <v>100</v>
      </c>
      <c r="AM8" s="17">
        <f t="shared" si="6"/>
        <v>100</v>
      </c>
      <c r="AN8" s="17">
        <f t="shared" si="6"/>
        <v>100</v>
      </c>
      <c r="AO8" s="17">
        <f t="shared" si="6"/>
        <v>100</v>
      </c>
      <c r="AP8" s="17">
        <f t="shared" si="6"/>
        <v>100</v>
      </c>
      <c r="AQ8" s="17">
        <f t="shared" si="6"/>
        <v>100</v>
      </c>
      <c r="AR8" s="17">
        <f t="shared" si="6"/>
        <v>100</v>
      </c>
      <c r="AS8" s="17">
        <f t="shared" si="6"/>
        <v>100</v>
      </c>
      <c r="AT8" s="17">
        <f t="shared" si="6"/>
        <v>100</v>
      </c>
      <c r="AU8" s="17">
        <f t="shared" si="6"/>
        <v>0</v>
      </c>
      <c r="AV8" s="17">
        <f t="shared" si="6"/>
        <v>100</v>
      </c>
      <c r="AW8" s="17">
        <f t="shared" si="6"/>
        <v>100</v>
      </c>
      <c r="AX8" s="17">
        <f t="shared" si="6"/>
        <v>100</v>
      </c>
      <c r="AY8" s="17">
        <f t="shared" si="6"/>
        <v>0</v>
      </c>
      <c r="AZ8" s="17">
        <f t="shared" si="6"/>
        <v>100</v>
      </c>
      <c r="BA8" s="17">
        <f t="shared" si="6"/>
        <v>0</v>
      </c>
      <c r="BB8" s="17">
        <f t="shared" si="6"/>
        <v>0</v>
      </c>
      <c r="BC8" s="17">
        <f t="shared" si="6"/>
        <v>0</v>
      </c>
      <c r="BD8" s="17">
        <f t="shared" si="6"/>
        <v>0</v>
      </c>
      <c r="BE8" s="17">
        <f t="shared" si="6"/>
        <v>0</v>
      </c>
      <c r="BF8" s="17">
        <f t="shared" si="6"/>
        <v>100</v>
      </c>
      <c r="BG8" s="17">
        <f t="shared" si="6"/>
        <v>100</v>
      </c>
      <c r="BH8" s="17">
        <f t="shared" si="6"/>
        <v>0</v>
      </c>
      <c r="BI8" s="17">
        <f t="shared" si="6"/>
        <v>100</v>
      </c>
      <c r="BJ8" s="17">
        <f t="shared" si="6"/>
        <v>100</v>
      </c>
      <c r="BK8" s="17">
        <f t="shared" si="6"/>
        <v>100</v>
      </c>
      <c r="BL8" s="17">
        <f t="shared" si="6"/>
        <v>0</v>
      </c>
      <c r="BM8" s="17">
        <f t="shared" si="6"/>
        <v>100</v>
      </c>
      <c r="BN8" s="17">
        <f t="shared" si="6"/>
        <v>100</v>
      </c>
      <c r="BO8" s="17">
        <f t="shared" ref="BO8:BU8" si="7">IF(AND(ABS(BO3-BN3)&lt;500,ABS(BO4-BN3)&lt;500),100,IF(AND(ABS(BO3-BN3)&lt;500,ABS(BO4-BN3)&gt;=500),0,IF((BO3-BN3)*(BO4-BN3)&gt;0,100,0)))</f>
        <v>100</v>
      </c>
      <c r="BP8" s="17">
        <f t="shared" si="7"/>
        <v>0</v>
      </c>
      <c r="BQ8" s="17">
        <f t="shared" si="7"/>
        <v>100</v>
      </c>
      <c r="BR8" s="17">
        <f t="shared" si="7"/>
        <v>0</v>
      </c>
      <c r="BS8" s="17">
        <f t="shared" si="7"/>
        <v>100</v>
      </c>
      <c r="BT8" s="17">
        <f t="shared" si="7"/>
        <v>100</v>
      </c>
      <c r="BU8" s="17">
        <f t="shared" si="7"/>
        <v>100</v>
      </c>
      <c r="BV8" s="14">
        <f>AVERAGEIF(B8:BU8,"&lt;&gt;N/A")</f>
        <v>74.6478873239437</v>
      </c>
    </row>
    <row r="9" ht="16.5" customHeight="1" spans="1:74">
      <c r="A9" s="18" t="s">
        <v>10</v>
      </c>
      <c r="B9" s="19" t="s">
        <v>9</v>
      </c>
      <c r="C9" s="20">
        <f t="shared" ref="C9:BN9" si="8">IF((C4-B3)&gt;=500,IF(ABS((C3-B3))&lt;500,"N/A",IF((C3-B3)&lt;0,-ABS((C3-B3)/(C4-B3))*100,MIN(100,ABS((C3-B3)/(C4-B3))*100))),IF((C4-B3)&lt;=-500,IF(ABS((C3-B3))&lt;500,"N/A",IF((C3-B3)&gt;0,-ABS((C3-B3)/(C4-B3))*100,MIN(100,ABS((C3-B3)/(C4-B3))*100))),IF(ABS((C3-B3))&lt;500,100,MIN(100,500/ABS((C3-B3))*100))))</f>
        <v>100</v>
      </c>
      <c r="D9" s="20">
        <f t="shared" si="8"/>
        <v>100</v>
      </c>
      <c r="E9" s="20">
        <f t="shared" si="8"/>
        <v>100</v>
      </c>
      <c r="F9" s="20" t="str">
        <f t="shared" si="8"/>
        <v>N/A</v>
      </c>
      <c r="G9" s="20">
        <f t="shared" si="8"/>
        <v>-86.1402121461144</v>
      </c>
      <c r="H9" s="20" t="str">
        <f t="shared" si="8"/>
        <v>N/A</v>
      </c>
      <c r="I9" s="20" t="str">
        <f t="shared" si="8"/>
        <v>N/A</v>
      </c>
      <c r="J9" s="20">
        <f t="shared" si="8"/>
        <v>-105.188971988176</v>
      </c>
      <c r="K9" s="20">
        <f t="shared" si="8"/>
        <v>45.4545454545455</v>
      </c>
      <c r="L9" s="20">
        <f t="shared" si="8"/>
        <v>100</v>
      </c>
      <c r="M9" s="20">
        <f t="shared" si="8"/>
        <v>83.3333333333333</v>
      </c>
      <c r="N9" s="20">
        <f t="shared" si="8"/>
        <v>50</v>
      </c>
      <c r="O9" s="20">
        <f t="shared" si="8"/>
        <v>50</v>
      </c>
      <c r="P9" s="20">
        <f t="shared" si="8"/>
        <v>100</v>
      </c>
      <c r="Q9" s="20">
        <f t="shared" si="8"/>
        <v>100</v>
      </c>
      <c r="R9" s="20">
        <f t="shared" si="8"/>
        <v>100</v>
      </c>
      <c r="S9" s="20">
        <f t="shared" si="8"/>
        <v>100</v>
      </c>
      <c r="T9" s="20">
        <f t="shared" si="8"/>
        <v>100</v>
      </c>
      <c r="U9" s="20">
        <f t="shared" si="8"/>
        <v>100</v>
      </c>
      <c r="V9" s="20">
        <f t="shared" si="8"/>
        <v>100</v>
      </c>
      <c r="W9" s="20">
        <f t="shared" si="8"/>
        <v>100</v>
      </c>
      <c r="X9" s="20">
        <f t="shared" si="8"/>
        <v>41.6666666666667</v>
      </c>
      <c r="Y9" s="20">
        <f t="shared" si="8"/>
        <v>45.4545454545455</v>
      </c>
      <c r="Z9" s="20">
        <f t="shared" si="8"/>
        <v>38.4615384615385</v>
      </c>
      <c r="AA9" s="20">
        <f t="shared" si="8"/>
        <v>100</v>
      </c>
      <c r="AB9" s="20">
        <f t="shared" si="8"/>
        <v>100</v>
      </c>
      <c r="AC9" s="20">
        <f t="shared" si="8"/>
        <v>100</v>
      </c>
      <c r="AD9" s="20">
        <f t="shared" si="8"/>
        <v>100</v>
      </c>
      <c r="AE9" s="20">
        <f t="shared" si="8"/>
        <v>100</v>
      </c>
      <c r="AF9" s="20">
        <f t="shared" si="8"/>
        <v>-80.6161654759661</v>
      </c>
      <c r="AG9" s="20">
        <f t="shared" si="8"/>
        <v>62.5</v>
      </c>
      <c r="AH9" s="20">
        <f t="shared" si="8"/>
        <v>100</v>
      </c>
      <c r="AI9" s="20">
        <f t="shared" si="8"/>
        <v>100</v>
      </c>
      <c r="AJ9" s="20">
        <f t="shared" si="8"/>
        <v>83.3333333333333</v>
      </c>
      <c r="AK9" s="20">
        <f t="shared" si="8"/>
        <v>100</v>
      </c>
      <c r="AL9" s="20">
        <f t="shared" si="8"/>
        <v>100</v>
      </c>
      <c r="AM9" s="20">
        <f t="shared" si="8"/>
        <v>100</v>
      </c>
      <c r="AN9" s="20">
        <f t="shared" si="8"/>
        <v>100</v>
      </c>
      <c r="AO9" s="20">
        <f t="shared" si="8"/>
        <v>100</v>
      </c>
      <c r="AP9" s="20">
        <f t="shared" si="8"/>
        <v>100</v>
      </c>
      <c r="AQ9" s="20">
        <f t="shared" si="8"/>
        <v>100</v>
      </c>
      <c r="AR9" s="20">
        <f t="shared" si="8"/>
        <v>100</v>
      </c>
      <c r="AS9" s="20">
        <f t="shared" si="8"/>
        <v>100</v>
      </c>
      <c r="AT9" s="20">
        <f t="shared" si="8"/>
        <v>100</v>
      </c>
      <c r="AU9" s="20">
        <f t="shared" si="8"/>
        <v>100</v>
      </c>
      <c r="AV9" s="20">
        <f t="shared" si="8"/>
        <v>71.4285714285714</v>
      </c>
      <c r="AW9" s="20">
        <f t="shared" si="8"/>
        <v>100</v>
      </c>
      <c r="AX9" s="20">
        <f t="shared" si="8"/>
        <v>71.4285714285714</v>
      </c>
      <c r="AY9" s="20">
        <f t="shared" si="8"/>
        <v>100</v>
      </c>
      <c r="AZ9" s="20">
        <f t="shared" si="8"/>
        <v>100</v>
      </c>
      <c r="BA9" s="20">
        <f t="shared" si="8"/>
        <v>33.3333333333333</v>
      </c>
      <c r="BB9" s="20">
        <f t="shared" si="8"/>
        <v>17.2413793103448</v>
      </c>
      <c r="BC9" s="20">
        <f t="shared" si="8"/>
        <v>83.3333333333333</v>
      </c>
      <c r="BD9" s="20">
        <f t="shared" si="8"/>
        <v>38.4615384615385</v>
      </c>
      <c r="BE9" s="20">
        <f t="shared" si="8"/>
        <v>33.3333333333333</v>
      </c>
      <c r="BF9" s="20">
        <f t="shared" si="8"/>
        <v>35.7142857142857</v>
      </c>
      <c r="BG9" s="20">
        <f t="shared" si="8"/>
        <v>35.7142857142857</v>
      </c>
      <c r="BH9" s="20">
        <f t="shared" si="8"/>
        <v>100</v>
      </c>
      <c r="BI9" s="20">
        <f t="shared" si="8"/>
        <v>100</v>
      </c>
      <c r="BJ9" s="20">
        <f t="shared" si="8"/>
        <v>100</v>
      </c>
      <c r="BK9" s="20">
        <f t="shared" si="8"/>
        <v>100</v>
      </c>
      <c r="BL9" s="20">
        <f t="shared" si="8"/>
        <v>71.4285714285714</v>
      </c>
      <c r="BM9" s="20">
        <f t="shared" si="8"/>
        <v>100</v>
      </c>
      <c r="BN9" s="20">
        <f t="shared" si="8"/>
        <v>100</v>
      </c>
      <c r="BO9" s="20">
        <f t="shared" ref="BO9:BU9" si="9">IF((BO4-BN3)&gt;=500,IF(ABS((BO3-BN3))&lt;500,"N/A",IF((BO3-BN3)&lt;0,-ABS((BO3-BN3)/(BO4-BN3))*100,MIN(100,ABS((BO3-BN3)/(BO4-BN3))*100))),IF((BO4-BN3)&lt;=-500,IF(ABS((BO3-BN3))&lt;500,"N/A",IF((BO3-BN3)&gt;0,-ABS((BO3-BN3)/(BO4-BN3))*100,MIN(100,ABS((BO3-BN3)/(BO4-BN3))*100))),IF(ABS((BO3-BN3))&lt;500,100,MIN(100,500/ABS((BO3-BN3))*100))))</f>
        <v>100</v>
      </c>
      <c r="BP9" s="20" t="str">
        <f t="shared" si="9"/>
        <v>N/A</v>
      </c>
      <c r="BQ9" s="20">
        <f t="shared" si="9"/>
        <v>100</v>
      </c>
      <c r="BR9" s="20" t="str">
        <f t="shared" si="9"/>
        <v>N/A</v>
      </c>
      <c r="BS9" s="20">
        <f t="shared" si="9"/>
        <v>83.3333333333333</v>
      </c>
      <c r="BT9" s="20">
        <f t="shared" si="9"/>
        <v>100</v>
      </c>
      <c r="BU9" s="20">
        <f t="shared" si="9"/>
        <v>100</v>
      </c>
      <c r="BV9" s="14">
        <f>IFERROR(AVERAGEIF(B9:BU9,"&lt;&gt;N/A"),"-")</f>
        <v>77.3183204532304</v>
      </c>
    </row>
  </sheetData>
  <mergeCells count="1">
    <mergeCell ref="A1:BV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9"/>
  <sheetViews>
    <sheetView workbookViewId="0">
      <pane xSplit="1" ySplit="2" topLeftCell="BT3" activePane="bottomRight" state="frozen"/>
      <selection/>
      <selection pane="topRight"/>
      <selection pane="bottomLeft"/>
      <selection pane="bottomRight" activeCell="A7" sqref="$A7:$XFD7"/>
    </sheetView>
  </sheetViews>
  <sheetFormatPr defaultColWidth="8.67592592592593" defaultRowHeight="14.4"/>
  <cols>
    <col min="1" max="1" width="22" customWidth="1"/>
    <col min="2" max="74" width="12" customWidth="1"/>
  </cols>
  <sheetData>
    <row r="1" ht="19.5" customHeight="1" spans="1:74">
      <c r="A1" s="1" t="s">
        <v>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19.5" customHeight="1" spans="1:74">
      <c r="A2" s="2" t="s">
        <v>1</v>
      </c>
      <c r="B2" s="3">
        <v>45655</v>
      </c>
      <c r="C2" s="3">
        <v>45662</v>
      </c>
      <c r="D2" s="3">
        <v>45669</v>
      </c>
      <c r="E2" s="3">
        <v>45676</v>
      </c>
      <c r="F2" s="3">
        <v>45683</v>
      </c>
      <c r="G2" s="3">
        <v>45690</v>
      </c>
      <c r="H2" s="3">
        <v>45697</v>
      </c>
      <c r="I2" s="3">
        <v>45704</v>
      </c>
      <c r="J2" s="3">
        <v>45711</v>
      </c>
      <c r="K2" s="3">
        <v>45718</v>
      </c>
      <c r="L2" s="3">
        <v>45725</v>
      </c>
      <c r="M2" s="3">
        <v>45732</v>
      </c>
      <c r="N2" s="3">
        <v>45739</v>
      </c>
      <c r="O2" s="3">
        <v>45746</v>
      </c>
      <c r="P2" s="3">
        <v>45753</v>
      </c>
      <c r="Q2" s="3">
        <v>45760</v>
      </c>
      <c r="R2" s="3">
        <v>45767</v>
      </c>
      <c r="S2" s="3">
        <v>45774</v>
      </c>
      <c r="T2" s="3">
        <v>45781</v>
      </c>
      <c r="U2" s="3">
        <v>45788</v>
      </c>
      <c r="V2" s="3">
        <v>45795</v>
      </c>
      <c r="W2" s="3">
        <v>45802</v>
      </c>
      <c r="X2" s="3">
        <v>45809</v>
      </c>
      <c r="Y2" s="3">
        <v>45816</v>
      </c>
      <c r="Z2" s="3">
        <v>45823</v>
      </c>
      <c r="AA2" s="3">
        <v>45830</v>
      </c>
      <c r="AB2" s="3">
        <v>45837</v>
      </c>
      <c r="AC2" s="3">
        <v>45844</v>
      </c>
      <c r="AD2" s="3">
        <v>45851</v>
      </c>
      <c r="AE2" s="3">
        <v>45858</v>
      </c>
      <c r="AF2" s="3">
        <v>45865</v>
      </c>
      <c r="AG2" s="3">
        <v>45872</v>
      </c>
      <c r="AH2" s="3">
        <v>45879</v>
      </c>
      <c r="AI2" s="3">
        <v>45886</v>
      </c>
      <c r="AJ2" s="3">
        <v>45893</v>
      </c>
      <c r="AK2" s="3">
        <v>45900</v>
      </c>
      <c r="AL2" s="3">
        <v>45907</v>
      </c>
      <c r="AM2" s="3">
        <v>45914</v>
      </c>
      <c r="AN2" s="3">
        <v>45921</v>
      </c>
      <c r="AO2" s="3">
        <v>45928</v>
      </c>
      <c r="AP2" s="3">
        <v>45935</v>
      </c>
      <c r="AQ2" s="3">
        <v>45942</v>
      </c>
      <c r="AR2" s="3">
        <v>45949</v>
      </c>
      <c r="AS2" s="3">
        <v>45956</v>
      </c>
      <c r="AT2" s="3">
        <v>45963</v>
      </c>
      <c r="AU2" s="3">
        <v>45970</v>
      </c>
      <c r="AV2" s="3">
        <v>45977</v>
      </c>
      <c r="AW2" s="3">
        <v>45984</v>
      </c>
      <c r="AX2" s="3">
        <v>45991</v>
      </c>
      <c r="AY2" s="3">
        <v>45998</v>
      </c>
      <c r="AZ2" s="3">
        <v>46005</v>
      </c>
      <c r="BA2" s="3">
        <v>46012</v>
      </c>
      <c r="BB2" s="3">
        <v>46019</v>
      </c>
      <c r="BC2" s="3">
        <v>46026</v>
      </c>
      <c r="BD2" s="3">
        <v>46033</v>
      </c>
      <c r="BE2" s="3">
        <v>46040</v>
      </c>
      <c r="BF2" s="3">
        <v>46047</v>
      </c>
      <c r="BG2" s="3">
        <v>46054</v>
      </c>
      <c r="BH2" s="3">
        <v>46061</v>
      </c>
      <c r="BI2" s="3">
        <v>46068</v>
      </c>
      <c r="BJ2" s="3">
        <v>46075</v>
      </c>
      <c r="BK2" s="3">
        <v>46082</v>
      </c>
      <c r="BL2" s="3">
        <v>46089</v>
      </c>
      <c r="BM2" s="3">
        <v>46096</v>
      </c>
      <c r="BN2" s="3">
        <v>46103</v>
      </c>
      <c r="BO2" s="3">
        <v>46110</v>
      </c>
      <c r="BP2" s="3">
        <v>46117</v>
      </c>
      <c r="BQ2" s="3">
        <v>46124</v>
      </c>
      <c r="BR2" s="3">
        <v>46131</v>
      </c>
      <c r="BS2" s="3">
        <v>46138</v>
      </c>
      <c r="BT2" s="3">
        <v>46145</v>
      </c>
      <c r="BU2" s="3">
        <v>46152</v>
      </c>
      <c r="BV2" s="4" t="s">
        <v>2</v>
      </c>
    </row>
    <row r="3" ht="16.5" customHeight="1" spans="1:74">
      <c r="A3" s="5" t="s">
        <v>3</v>
      </c>
      <c r="B3" s="6">
        <v>47200</v>
      </c>
      <c r="C3" s="6">
        <v>47300</v>
      </c>
      <c r="D3" s="6">
        <v>47475</v>
      </c>
      <c r="E3" s="6">
        <v>47066.6666666667</v>
      </c>
      <c r="F3" s="6">
        <v>46983.3333333333</v>
      </c>
      <c r="G3" s="6">
        <v>46900</v>
      </c>
      <c r="H3" s="6">
        <v>47083.3333333333</v>
      </c>
      <c r="I3" s="6">
        <v>47066.6666666667</v>
      </c>
      <c r="J3" s="6">
        <v>47750</v>
      </c>
      <c r="K3" s="6">
        <v>48366.6666666667</v>
      </c>
      <c r="L3" s="6">
        <v>48950</v>
      </c>
      <c r="M3" s="6">
        <v>49300</v>
      </c>
      <c r="N3" s="6">
        <v>49450</v>
      </c>
      <c r="O3" s="6">
        <v>49350</v>
      </c>
      <c r="P3" s="6">
        <v>49366.6666666667</v>
      </c>
      <c r="Q3" s="6">
        <v>49533.3333333333</v>
      </c>
      <c r="R3" s="6">
        <v>49400</v>
      </c>
      <c r="S3" s="6">
        <v>49333.3333333333</v>
      </c>
      <c r="T3" s="6">
        <v>49416.6666666667</v>
      </c>
      <c r="U3" s="6">
        <v>49133.3333333333</v>
      </c>
      <c r="V3" s="6">
        <v>48266.6666666667</v>
      </c>
      <c r="W3" s="6">
        <v>47933.3333333333</v>
      </c>
      <c r="X3" s="6">
        <v>47666.6666666667</v>
      </c>
      <c r="Y3" s="6">
        <v>46733.3333333333</v>
      </c>
      <c r="Z3" s="6">
        <v>46133.3333333333</v>
      </c>
      <c r="AA3" s="6">
        <v>45116.6666666667</v>
      </c>
      <c r="AB3" s="6">
        <v>44250</v>
      </c>
      <c r="AC3" s="6">
        <v>43783.3333333333</v>
      </c>
      <c r="AD3" s="6">
        <v>43533.3333333333</v>
      </c>
      <c r="AE3" s="6">
        <v>43450</v>
      </c>
      <c r="AF3" s="6">
        <v>43350</v>
      </c>
      <c r="AG3" s="6">
        <v>43416.6666666667</v>
      </c>
      <c r="AH3" s="6">
        <v>44416.6666666667</v>
      </c>
      <c r="AI3" s="6">
        <v>45660</v>
      </c>
      <c r="AJ3" s="6">
        <v>45850</v>
      </c>
      <c r="AK3" s="6">
        <v>45666.6666666667</v>
      </c>
      <c r="AL3" s="6">
        <v>44820</v>
      </c>
      <c r="AM3" s="6">
        <v>44600</v>
      </c>
      <c r="AN3" s="6">
        <v>44200</v>
      </c>
      <c r="AO3" s="6">
        <v>44383.3333333333</v>
      </c>
      <c r="AP3" s="6">
        <v>43750</v>
      </c>
      <c r="AQ3" s="6">
        <v>43000</v>
      </c>
      <c r="AR3" s="6">
        <v>42616.6666666667</v>
      </c>
      <c r="AS3" s="6">
        <v>42350</v>
      </c>
      <c r="AT3" s="6">
        <v>41533.3333333333</v>
      </c>
      <c r="AU3" s="6">
        <v>41766.6666666667</v>
      </c>
      <c r="AV3" s="6">
        <v>42933.3333333333</v>
      </c>
      <c r="AW3" s="6">
        <v>42483.3333333333</v>
      </c>
      <c r="AX3" s="6">
        <v>42683.3333333333</v>
      </c>
      <c r="AY3" s="6">
        <v>42750</v>
      </c>
      <c r="AZ3" s="6">
        <v>43750</v>
      </c>
      <c r="BA3" s="6">
        <v>44500</v>
      </c>
      <c r="BB3" s="6">
        <v>45050</v>
      </c>
      <c r="BC3" s="6">
        <v>48666.6666666667</v>
      </c>
      <c r="BD3" s="6">
        <v>48533.3333333333</v>
      </c>
      <c r="BE3" s="6">
        <v>49140</v>
      </c>
      <c r="BF3" s="6">
        <v>50100</v>
      </c>
      <c r="BG3" s="6">
        <v>50520</v>
      </c>
      <c r="BH3" s="6">
        <v>50150</v>
      </c>
      <c r="BI3" s="6">
        <v>50000</v>
      </c>
      <c r="BJ3" s="6">
        <v>49566.6666666667</v>
      </c>
      <c r="BK3" s="6">
        <v>49200</v>
      </c>
      <c r="BL3" s="6">
        <v>50475</v>
      </c>
      <c r="BM3" s="6">
        <v>51383.3333333333</v>
      </c>
      <c r="BN3" s="6">
        <v>51000</v>
      </c>
      <c r="BO3" s="6">
        <v>50750</v>
      </c>
      <c r="BP3" s="6">
        <v>52820</v>
      </c>
      <c r="BQ3" s="6">
        <v>53980</v>
      </c>
      <c r="BR3" s="6">
        <v>52433</v>
      </c>
      <c r="BS3" s="6">
        <v>51212</v>
      </c>
      <c r="BT3" s="6">
        <v>49892</v>
      </c>
      <c r="BU3" s="6">
        <v>48762</v>
      </c>
      <c r="BV3" s="7"/>
    </row>
    <row r="4" ht="16.5" customHeight="1" spans="1:74">
      <c r="A4" s="8" t="s">
        <v>4</v>
      </c>
      <c r="B4" s="9">
        <v>47150.734</v>
      </c>
      <c r="C4" s="9">
        <v>47772.43</v>
      </c>
      <c r="D4" s="9">
        <v>47762.375</v>
      </c>
      <c r="E4" s="9">
        <v>47947.449</v>
      </c>
      <c r="F4" s="9">
        <v>47412.281</v>
      </c>
      <c r="G4" s="9">
        <v>47001.113</v>
      </c>
      <c r="H4" s="9">
        <v>46930.324</v>
      </c>
      <c r="I4" s="9">
        <v>47116.648</v>
      </c>
      <c r="J4" s="9">
        <v>47343.977</v>
      </c>
      <c r="K4" s="9">
        <v>47715.098</v>
      </c>
      <c r="L4" s="9">
        <v>48199.004</v>
      </c>
      <c r="M4" s="9">
        <v>48717.344</v>
      </c>
      <c r="N4" s="9">
        <v>49010.348</v>
      </c>
      <c r="O4" s="9">
        <v>49164.121</v>
      </c>
      <c r="P4" s="9">
        <v>49112.527</v>
      </c>
      <c r="Q4" s="9">
        <v>49205.43</v>
      </c>
      <c r="R4" s="9">
        <v>49308.211</v>
      </c>
      <c r="S4" s="9">
        <v>49156.09</v>
      </c>
      <c r="T4" s="9">
        <v>49231.605</v>
      </c>
      <c r="U4" s="9">
        <v>49376.355</v>
      </c>
      <c r="V4" s="9">
        <v>49150.566</v>
      </c>
      <c r="W4" s="9">
        <v>48197.973</v>
      </c>
      <c r="X4" s="9">
        <v>47725.336</v>
      </c>
      <c r="Y4" s="9">
        <v>47461.605</v>
      </c>
      <c r="Z4" s="9">
        <v>46388.547</v>
      </c>
      <c r="AA4" s="9">
        <v>45683.734</v>
      </c>
      <c r="AB4" s="9">
        <v>44689.27</v>
      </c>
      <c r="AC4" s="9">
        <v>43919.992</v>
      </c>
      <c r="AD4" s="9">
        <v>43322.848</v>
      </c>
      <c r="AE4" s="9">
        <v>43086.141</v>
      </c>
      <c r="AF4" s="9">
        <v>42953.863</v>
      </c>
      <c r="AG4" s="9">
        <v>42871.211</v>
      </c>
      <c r="AH4" s="9">
        <v>42928.316</v>
      </c>
      <c r="AI4" s="9">
        <v>44150.164</v>
      </c>
      <c r="AJ4" s="9">
        <v>45262.32</v>
      </c>
      <c r="AK4" s="9">
        <v>45343.828</v>
      </c>
      <c r="AL4" s="9">
        <v>45229.887</v>
      </c>
      <c r="AM4" s="9">
        <v>44553.879</v>
      </c>
      <c r="AN4" s="9">
        <v>44591.961</v>
      </c>
      <c r="AO4" s="9">
        <v>44410.559</v>
      </c>
      <c r="AP4" s="9">
        <v>44526.199</v>
      </c>
      <c r="AQ4" s="9">
        <v>43898.508</v>
      </c>
      <c r="AR4" s="9">
        <v>43165.805</v>
      </c>
      <c r="AS4" s="9">
        <v>42873.039</v>
      </c>
      <c r="AT4" s="9">
        <v>42696.766</v>
      </c>
      <c r="AU4" s="9">
        <v>41920.445</v>
      </c>
      <c r="AV4" s="9">
        <v>42067.324</v>
      </c>
      <c r="AW4" s="9">
        <v>43124.695</v>
      </c>
      <c r="AX4" s="9">
        <v>42615.281</v>
      </c>
      <c r="AY4" s="9">
        <v>42690.074</v>
      </c>
      <c r="AZ4" s="9">
        <v>42647.117</v>
      </c>
      <c r="BA4" s="9">
        <v>43575.762</v>
      </c>
      <c r="BB4" s="9">
        <v>44393.07</v>
      </c>
      <c r="BC4" s="9">
        <v>45126.809</v>
      </c>
      <c r="BD4" s="9">
        <v>48947.004</v>
      </c>
      <c r="BE4" s="9">
        <v>48657.969</v>
      </c>
      <c r="BF4" s="9">
        <v>49088.707</v>
      </c>
      <c r="BG4" s="9">
        <v>49985.277</v>
      </c>
      <c r="BH4" s="9">
        <v>50264.406</v>
      </c>
      <c r="BI4" s="9">
        <v>50243.574</v>
      </c>
      <c r="BJ4" s="9">
        <v>50233.777</v>
      </c>
      <c r="BK4" s="9">
        <v>49707.293</v>
      </c>
      <c r="BL4" s="9">
        <v>49267.852</v>
      </c>
      <c r="BM4" s="9">
        <v>50431.887</v>
      </c>
      <c r="BN4" s="9">
        <v>51168.223</v>
      </c>
      <c r="BO4" s="9">
        <v>50812.523</v>
      </c>
      <c r="BP4" s="9">
        <v>50479.465</v>
      </c>
      <c r="BQ4" s="9">
        <v>52284.781</v>
      </c>
      <c r="BR4" s="9">
        <v>53177.41</v>
      </c>
      <c r="BS4" s="9">
        <v>51755.438</v>
      </c>
      <c r="BT4" s="9">
        <v>50205.805</v>
      </c>
      <c r="BU4" s="9">
        <v>48988.242</v>
      </c>
      <c r="BV4" s="7"/>
    </row>
    <row r="5" ht="16.5" customHeight="1" spans="1:74">
      <c r="A5" s="10" t="s">
        <v>5</v>
      </c>
      <c r="B5" s="11">
        <f t="shared" ref="B5:BM5" si="0">ABS(B3-B4)</f>
        <v>49.2660000000033</v>
      </c>
      <c r="C5" s="11">
        <f t="shared" si="0"/>
        <v>472.43</v>
      </c>
      <c r="D5" s="11">
        <f t="shared" si="0"/>
        <v>287.375</v>
      </c>
      <c r="E5" s="11">
        <f t="shared" si="0"/>
        <v>880.7823333333</v>
      </c>
      <c r="F5" s="11">
        <f t="shared" si="0"/>
        <v>428.947666666703</v>
      </c>
      <c r="G5" s="11">
        <f t="shared" si="0"/>
        <v>101.112999999998</v>
      </c>
      <c r="H5" s="11">
        <f t="shared" si="0"/>
        <v>153.009333333299</v>
      </c>
      <c r="I5" s="11">
        <f t="shared" si="0"/>
        <v>49.9813333333004</v>
      </c>
      <c r="J5" s="11">
        <f t="shared" si="0"/>
        <v>406.023000000001</v>
      </c>
      <c r="K5" s="11">
        <f t="shared" si="0"/>
        <v>651.568666666702</v>
      </c>
      <c r="L5" s="11">
        <f t="shared" si="0"/>
        <v>750.995999999999</v>
      </c>
      <c r="M5" s="11">
        <f t="shared" si="0"/>
        <v>582.656000000003</v>
      </c>
      <c r="N5" s="11">
        <f t="shared" si="0"/>
        <v>439.652000000002</v>
      </c>
      <c r="O5" s="11">
        <f t="shared" si="0"/>
        <v>185.879000000001</v>
      </c>
      <c r="P5" s="11">
        <f t="shared" si="0"/>
        <v>254.139666666699</v>
      </c>
      <c r="Q5" s="11">
        <f t="shared" si="0"/>
        <v>327.903333333299</v>
      </c>
      <c r="R5" s="11">
        <f t="shared" si="0"/>
        <v>91.788999999997</v>
      </c>
      <c r="S5" s="11">
        <f t="shared" si="0"/>
        <v>177.243333333303</v>
      </c>
      <c r="T5" s="11">
        <f t="shared" si="0"/>
        <v>185.061666666697</v>
      </c>
      <c r="U5" s="11">
        <f t="shared" si="0"/>
        <v>243.021666666704</v>
      </c>
      <c r="V5" s="11">
        <f t="shared" si="0"/>
        <v>883.899333333298</v>
      </c>
      <c r="W5" s="11">
        <f t="shared" si="0"/>
        <v>264.639666666699</v>
      </c>
      <c r="X5" s="11">
        <f t="shared" si="0"/>
        <v>58.6693333333023</v>
      </c>
      <c r="Y5" s="11">
        <f t="shared" si="0"/>
        <v>728.271666666704</v>
      </c>
      <c r="Z5" s="11">
        <f t="shared" si="0"/>
        <v>255.213666666699</v>
      </c>
      <c r="AA5" s="11">
        <f t="shared" si="0"/>
        <v>567.067333333296</v>
      </c>
      <c r="AB5" s="11">
        <f t="shared" si="0"/>
        <v>439.269999999997</v>
      </c>
      <c r="AC5" s="11">
        <f t="shared" si="0"/>
        <v>136.658666666699</v>
      </c>
      <c r="AD5" s="11">
        <f t="shared" si="0"/>
        <v>210.485333333301</v>
      </c>
      <c r="AE5" s="11">
        <f t="shared" si="0"/>
        <v>363.858999999997</v>
      </c>
      <c r="AF5" s="11">
        <f t="shared" si="0"/>
        <v>396.137000000002</v>
      </c>
      <c r="AG5" s="11">
        <f t="shared" si="0"/>
        <v>545.455666666698</v>
      </c>
      <c r="AH5" s="11">
        <f t="shared" si="0"/>
        <v>1488.3506666667</v>
      </c>
      <c r="AI5" s="11">
        <f t="shared" si="0"/>
        <v>1509.836</v>
      </c>
      <c r="AJ5" s="11">
        <f t="shared" si="0"/>
        <v>587.68</v>
      </c>
      <c r="AK5" s="11">
        <f t="shared" si="0"/>
        <v>322.838666666699</v>
      </c>
      <c r="AL5" s="11">
        <f t="shared" si="0"/>
        <v>409.887000000002</v>
      </c>
      <c r="AM5" s="11">
        <f t="shared" si="0"/>
        <v>46.1209999999992</v>
      </c>
      <c r="AN5" s="11">
        <f t="shared" si="0"/>
        <v>391.961000000003</v>
      </c>
      <c r="AO5" s="11">
        <f t="shared" si="0"/>
        <v>27.2256666667017</v>
      </c>
      <c r="AP5" s="11">
        <f t="shared" si="0"/>
        <v>776.199000000001</v>
      </c>
      <c r="AQ5" s="11">
        <f t="shared" si="0"/>
        <v>898.508000000002</v>
      </c>
      <c r="AR5" s="11">
        <f t="shared" si="0"/>
        <v>549.1383333333</v>
      </c>
      <c r="AS5" s="11">
        <f t="shared" si="0"/>
        <v>523.038999999997</v>
      </c>
      <c r="AT5" s="11">
        <f t="shared" si="0"/>
        <v>1163.4326666667</v>
      </c>
      <c r="AU5" s="11">
        <f t="shared" si="0"/>
        <v>153.778333333299</v>
      </c>
      <c r="AV5" s="11">
        <f t="shared" si="0"/>
        <v>866.009333333299</v>
      </c>
      <c r="AW5" s="11">
        <f t="shared" si="0"/>
        <v>641.3616666667</v>
      </c>
      <c r="AX5" s="11">
        <f t="shared" si="0"/>
        <v>68.0523333332967</v>
      </c>
      <c r="AY5" s="11">
        <f t="shared" si="0"/>
        <v>59.9259999999995</v>
      </c>
      <c r="AZ5" s="11">
        <f t="shared" si="0"/>
        <v>1102.883</v>
      </c>
      <c r="BA5" s="11">
        <f t="shared" si="0"/>
        <v>924.237999999998</v>
      </c>
      <c r="BB5" s="11">
        <f t="shared" si="0"/>
        <v>656.93</v>
      </c>
      <c r="BC5" s="11">
        <f t="shared" si="0"/>
        <v>3539.8576666667</v>
      </c>
      <c r="BD5" s="11">
        <f t="shared" si="0"/>
        <v>413.670666666701</v>
      </c>
      <c r="BE5" s="11">
        <f t="shared" si="0"/>
        <v>482.031000000003</v>
      </c>
      <c r="BF5" s="11">
        <f t="shared" si="0"/>
        <v>1011.293</v>
      </c>
      <c r="BG5" s="11">
        <f t="shared" si="0"/>
        <v>534.722999999998</v>
      </c>
      <c r="BH5" s="11">
        <f t="shared" si="0"/>
        <v>114.406000000003</v>
      </c>
      <c r="BI5" s="11">
        <f t="shared" si="0"/>
        <v>243.574000000001</v>
      </c>
      <c r="BJ5" s="11">
        <f t="shared" si="0"/>
        <v>667.110333333301</v>
      </c>
      <c r="BK5" s="11">
        <f t="shared" si="0"/>
        <v>507.292999999998</v>
      </c>
      <c r="BL5" s="11">
        <f t="shared" si="0"/>
        <v>1207.148</v>
      </c>
      <c r="BM5" s="11">
        <f t="shared" si="0"/>
        <v>951.446333333297</v>
      </c>
      <c r="BN5" s="11">
        <f t="shared" ref="BN5:BU5" si="1">ABS(BN3-BN4)</f>
        <v>168.222999999998</v>
      </c>
      <c r="BO5" s="11">
        <f t="shared" si="1"/>
        <v>62.523000000001</v>
      </c>
      <c r="BP5" s="11">
        <f t="shared" si="1"/>
        <v>2340.535</v>
      </c>
      <c r="BQ5" s="11">
        <f t="shared" si="1"/>
        <v>1695.219</v>
      </c>
      <c r="BR5" s="11">
        <f t="shared" si="1"/>
        <v>744.410000000003</v>
      </c>
      <c r="BS5" s="11">
        <f t="shared" si="1"/>
        <v>543.438000000002</v>
      </c>
      <c r="BT5" s="11">
        <f t="shared" si="1"/>
        <v>313.805</v>
      </c>
      <c r="BU5" s="11">
        <f t="shared" si="1"/>
        <v>226.241999999998</v>
      </c>
      <c r="BV5" s="7">
        <f>AVERAGE(B5:BU5)</f>
        <v>562.539004629631</v>
      </c>
    </row>
    <row r="6" ht="16.5" customHeight="1" spans="1:74">
      <c r="A6" s="12" t="s">
        <v>6</v>
      </c>
      <c r="B6" s="13">
        <f t="shared" ref="B6:BM6" si="2">IF(B3=0,"-",ABS(B3-B4)/B3*100)</f>
        <v>0.104377118644075</v>
      </c>
      <c r="C6" s="13">
        <f t="shared" si="2"/>
        <v>0.998794926004229</v>
      </c>
      <c r="D6" s="13">
        <f t="shared" si="2"/>
        <v>0.605318588730911</v>
      </c>
      <c r="E6" s="13">
        <f t="shared" si="2"/>
        <v>1.87135056657217</v>
      </c>
      <c r="F6" s="13">
        <f t="shared" si="2"/>
        <v>0.912978361121044</v>
      </c>
      <c r="G6" s="13">
        <f t="shared" si="2"/>
        <v>0.215592750533044</v>
      </c>
      <c r="H6" s="13">
        <f t="shared" si="2"/>
        <v>0.324975575221166</v>
      </c>
      <c r="I6" s="13">
        <f t="shared" si="2"/>
        <v>0.106192634560837</v>
      </c>
      <c r="J6" s="13">
        <f t="shared" si="2"/>
        <v>0.850309947643981</v>
      </c>
      <c r="K6" s="13">
        <f t="shared" si="2"/>
        <v>1.34714403859415</v>
      </c>
      <c r="L6" s="13">
        <f t="shared" si="2"/>
        <v>1.53421041879469</v>
      </c>
      <c r="M6" s="13">
        <f t="shared" si="2"/>
        <v>1.18185801217039</v>
      </c>
      <c r="N6" s="13">
        <f t="shared" si="2"/>
        <v>0.889083923154706</v>
      </c>
      <c r="O6" s="13">
        <f t="shared" si="2"/>
        <v>0.376654508611957</v>
      </c>
      <c r="P6" s="13">
        <f t="shared" si="2"/>
        <v>0.514800135043954</v>
      </c>
      <c r="Q6" s="13">
        <f t="shared" si="2"/>
        <v>0.661985195154709</v>
      </c>
      <c r="R6" s="13">
        <f t="shared" si="2"/>
        <v>0.185807692307686</v>
      </c>
      <c r="S6" s="13">
        <f t="shared" si="2"/>
        <v>0.359277027026966</v>
      </c>
      <c r="T6" s="13">
        <f t="shared" si="2"/>
        <v>0.374492411467178</v>
      </c>
      <c r="U6" s="13">
        <f t="shared" si="2"/>
        <v>0.494616689280944</v>
      </c>
      <c r="V6" s="13">
        <f t="shared" si="2"/>
        <v>1.8312831491712</v>
      </c>
      <c r="W6" s="13">
        <f t="shared" si="2"/>
        <v>0.552099443671834</v>
      </c>
      <c r="X6" s="13">
        <f t="shared" si="2"/>
        <v>0.123082517482452</v>
      </c>
      <c r="Y6" s="13">
        <f t="shared" si="2"/>
        <v>1.5583559201142</v>
      </c>
      <c r="Z6" s="13">
        <f t="shared" si="2"/>
        <v>0.553208815028973</v>
      </c>
      <c r="AA6" s="13">
        <f t="shared" si="2"/>
        <v>1.25689102327291</v>
      </c>
      <c r="AB6" s="13">
        <f t="shared" si="2"/>
        <v>0.992700564971744</v>
      </c>
      <c r="AC6" s="13">
        <f t="shared" si="2"/>
        <v>0.312124857251692</v>
      </c>
      <c r="AD6" s="13">
        <f t="shared" si="2"/>
        <v>0.483503828483847</v>
      </c>
      <c r="AE6" s="13">
        <f t="shared" si="2"/>
        <v>0.837420023014952</v>
      </c>
      <c r="AF6" s="13">
        <f t="shared" si="2"/>
        <v>0.913810841983858</v>
      </c>
      <c r="AG6" s="13">
        <f t="shared" si="2"/>
        <v>1.25632783109412</v>
      </c>
      <c r="AH6" s="13">
        <f t="shared" si="2"/>
        <v>3.35088330206387</v>
      </c>
      <c r="AI6" s="13">
        <f t="shared" si="2"/>
        <v>3.30669294787561</v>
      </c>
      <c r="AJ6" s="13">
        <f t="shared" si="2"/>
        <v>1.28174482006543</v>
      </c>
      <c r="AK6" s="13">
        <f t="shared" si="2"/>
        <v>0.706945985401531</v>
      </c>
      <c r="AL6" s="13">
        <f t="shared" si="2"/>
        <v>0.914518072289162</v>
      </c>
      <c r="AM6" s="13">
        <f t="shared" si="2"/>
        <v>0.103410313901343</v>
      </c>
      <c r="AN6" s="13">
        <f t="shared" si="2"/>
        <v>0.886789592760188</v>
      </c>
      <c r="AO6" s="13">
        <f t="shared" si="2"/>
        <v>0.0613420953812281</v>
      </c>
      <c r="AP6" s="13">
        <f t="shared" si="2"/>
        <v>1.77416914285714</v>
      </c>
      <c r="AQ6" s="13">
        <f t="shared" si="2"/>
        <v>2.0895534883721</v>
      </c>
      <c r="AR6" s="13">
        <f t="shared" si="2"/>
        <v>1.28855299178717</v>
      </c>
      <c r="AS6" s="13">
        <f t="shared" si="2"/>
        <v>1.23503896103895</v>
      </c>
      <c r="AT6" s="13">
        <f t="shared" si="2"/>
        <v>2.8012022471911</v>
      </c>
      <c r="AU6" s="13">
        <f t="shared" si="2"/>
        <v>0.368184357541817</v>
      </c>
      <c r="AV6" s="13">
        <f t="shared" si="2"/>
        <v>2.01710248447197</v>
      </c>
      <c r="AW6" s="13">
        <f t="shared" si="2"/>
        <v>1.50967830521781</v>
      </c>
      <c r="AX6" s="13">
        <f t="shared" si="2"/>
        <v>0.159435376805849</v>
      </c>
      <c r="AY6" s="13">
        <f t="shared" si="2"/>
        <v>0.140177777777777</v>
      </c>
      <c r="AZ6" s="13">
        <f t="shared" si="2"/>
        <v>2.52087542857143</v>
      </c>
      <c r="BA6" s="13">
        <f t="shared" si="2"/>
        <v>2.07693932584269</v>
      </c>
      <c r="BB6" s="13">
        <f t="shared" si="2"/>
        <v>1.45822419533851</v>
      </c>
      <c r="BC6" s="13">
        <f t="shared" si="2"/>
        <v>7.27368013698636</v>
      </c>
      <c r="BD6" s="13">
        <f t="shared" si="2"/>
        <v>0.852343406593479</v>
      </c>
      <c r="BE6" s="13">
        <f t="shared" si="2"/>
        <v>0.980934065934071</v>
      </c>
      <c r="BF6" s="13">
        <f t="shared" si="2"/>
        <v>2.0185489021956</v>
      </c>
      <c r="BG6" s="13">
        <f t="shared" si="2"/>
        <v>1.05843824228028</v>
      </c>
      <c r="BH6" s="13">
        <f t="shared" si="2"/>
        <v>0.22812761714856</v>
      </c>
      <c r="BI6" s="13">
        <f t="shared" si="2"/>
        <v>0.487148000000001</v>
      </c>
      <c r="BJ6" s="13">
        <f t="shared" si="2"/>
        <v>1.34588500336241</v>
      </c>
      <c r="BK6" s="13">
        <f t="shared" si="2"/>
        <v>1.03108333333333</v>
      </c>
      <c r="BL6" s="13">
        <f t="shared" si="2"/>
        <v>2.39157602773651</v>
      </c>
      <c r="BM6" s="13">
        <f t="shared" si="2"/>
        <v>1.8516633149529</v>
      </c>
      <c r="BN6" s="13">
        <f t="shared" ref="BN6:BU6" si="3">IF(BN3=0,"-",ABS(BN3-BN4)/BN3*100)</f>
        <v>0.329849019607839</v>
      </c>
      <c r="BO6" s="13">
        <f t="shared" si="3"/>
        <v>0.123198029556652</v>
      </c>
      <c r="BP6" s="13">
        <f t="shared" si="3"/>
        <v>4.43115297235896</v>
      </c>
      <c r="BQ6" s="13">
        <f t="shared" si="3"/>
        <v>3.14045757688032</v>
      </c>
      <c r="BR6" s="13">
        <f t="shared" si="3"/>
        <v>1.4197356626552</v>
      </c>
      <c r="BS6" s="13">
        <f t="shared" si="3"/>
        <v>1.0611536358666</v>
      </c>
      <c r="BT6" s="13">
        <f t="shared" si="3"/>
        <v>0.628968572115771</v>
      </c>
      <c r="BU6" s="13">
        <f t="shared" si="3"/>
        <v>0.463971945367291</v>
      </c>
      <c r="BV6" s="14">
        <f>AVERAGEIF(B6:BU6,"&lt;&gt;-")</f>
        <v>1.19097230574535</v>
      </c>
    </row>
    <row r="7" ht="16.5" customHeight="1" spans="1:74">
      <c r="A7" s="15" t="s">
        <v>7</v>
      </c>
      <c r="B7" s="16">
        <f t="shared" ref="B7:BM7" si="4">100-B6</f>
        <v>99.8956228813559</v>
      </c>
      <c r="C7" s="16">
        <f t="shared" si="4"/>
        <v>99.0012050739958</v>
      </c>
      <c r="D7" s="16">
        <f t="shared" si="4"/>
        <v>99.3946814112691</v>
      </c>
      <c r="E7" s="16">
        <f t="shared" si="4"/>
        <v>98.1286494334278</v>
      </c>
      <c r="F7" s="16">
        <f t="shared" si="4"/>
        <v>99.087021638879</v>
      </c>
      <c r="G7" s="16">
        <f t="shared" si="4"/>
        <v>99.784407249467</v>
      </c>
      <c r="H7" s="16">
        <f t="shared" si="4"/>
        <v>99.6750244247788</v>
      </c>
      <c r="I7" s="16">
        <f t="shared" si="4"/>
        <v>99.8938073654392</v>
      </c>
      <c r="J7" s="16">
        <f t="shared" si="4"/>
        <v>99.149690052356</v>
      </c>
      <c r="K7" s="16">
        <f t="shared" si="4"/>
        <v>98.6528559614058</v>
      </c>
      <c r="L7" s="16">
        <f t="shared" si="4"/>
        <v>98.4657895812053</v>
      </c>
      <c r="M7" s="16">
        <f t="shared" si="4"/>
        <v>98.8181419878296</v>
      </c>
      <c r="N7" s="16">
        <f t="shared" si="4"/>
        <v>99.1109160768453</v>
      </c>
      <c r="O7" s="16">
        <f t="shared" si="4"/>
        <v>99.623345491388</v>
      </c>
      <c r="P7" s="16">
        <f t="shared" si="4"/>
        <v>99.485199864956</v>
      </c>
      <c r="Q7" s="16">
        <f t="shared" si="4"/>
        <v>99.3380148048453</v>
      </c>
      <c r="R7" s="16">
        <f t="shared" si="4"/>
        <v>99.8141923076923</v>
      </c>
      <c r="S7" s="16">
        <f t="shared" si="4"/>
        <v>99.640722972973</v>
      </c>
      <c r="T7" s="16">
        <f t="shared" si="4"/>
        <v>99.6255075885328</v>
      </c>
      <c r="U7" s="16">
        <f t="shared" si="4"/>
        <v>99.5053833107191</v>
      </c>
      <c r="V7" s="16">
        <f t="shared" si="4"/>
        <v>98.1687168508288</v>
      </c>
      <c r="W7" s="16">
        <f t="shared" si="4"/>
        <v>99.4479005563282</v>
      </c>
      <c r="X7" s="16">
        <f t="shared" si="4"/>
        <v>99.8769174825175</v>
      </c>
      <c r="Y7" s="16">
        <f t="shared" si="4"/>
        <v>98.4416440798858</v>
      </c>
      <c r="Z7" s="16">
        <f t="shared" si="4"/>
        <v>99.446791184971</v>
      </c>
      <c r="AA7" s="16">
        <f t="shared" si="4"/>
        <v>98.7431089767271</v>
      </c>
      <c r="AB7" s="16">
        <f t="shared" si="4"/>
        <v>99.0072994350283</v>
      </c>
      <c r="AC7" s="16">
        <f t="shared" si="4"/>
        <v>99.6878751427483</v>
      </c>
      <c r="AD7" s="16">
        <f t="shared" si="4"/>
        <v>99.5164961715162</v>
      </c>
      <c r="AE7" s="16">
        <f t="shared" si="4"/>
        <v>99.162579976985</v>
      </c>
      <c r="AF7" s="16">
        <f t="shared" si="4"/>
        <v>99.0861891580161</v>
      </c>
      <c r="AG7" s="16">
        <f t="shared" si="4"/>
        <v>98.7436721689059</v>
      </c>
      <c r="AH7" s="16">
        <f t="shared" si="4"/>
        <v>96.6491166979361</v>
      </c>
      <c r="AI7" s="16">
        <f t="shared" si="4"/>
        <v>96.6933070521244</v>
      </c>
      <c r="AJ7" s="16">
        <f t="shared" si="4"/>
        <v>98.7182551799346</v>
      </c>
      <c r="AK7" s="16">
        <f t="shared" si="4"/>
        <v>99.2930540145985</v>
      </c>
      <c r="AL7" s="16">
        <f t="shared" si="4"/>
        <v>99.0854819277108</v>
      </c>
      <c r="AM7" s="16">
        <f t="shared" si="4"/>
        <v>99.8965896860987</v>
      </c>
      <c r="AN7" s="16">
        <f t="shared" si="4"/>
        <v>99.1132104072398</v>
      </c>
      <c r="AO7" s="16">
        <f t="shared" si="4"/>
        <v>99.9386579046188</v>
      </c>
      <c r="AP7" s="16">
        <f t="shared" si="4"/>
        <v>98.2258308571429</v>
      </c>
      <c r="AQ7" s="16">
        <f t="shared" si="4"/>
        <v>97.9104465116279</v>
      </c>
      <c r="AR7" s="16">
        <f t="shared" si="4"/>
        <v>98.7114470082128</v>
      </c>
      <c r="AS7" s="16">
        <f t="shared" si="4"/>
        <v>98.764961038961</v>
      </c>
      <c r="AT7" s="16">
        <f t="shared" si="4"/>
        <v>97.1987977528089</v>
      </c>
      <c r="AU7" s="16">
        <f t="shared" si="4"/>
        <v>99.6318156424582</v>
      </c>
      <c r="AV7" s="16">
        <f t="shared" si="4"/>
        <v>97.982897515528</v>
      </c>
      <c r="AW7" s="16">
        <f t="shared" si="4"/>
        <v>98.4903216947822</v>
      </c>
      <c r="AX7" s="16">
        <f t="shared" si="4"/>
        <v>99.8405646231942</v>
      </c>
      <c r="AY7" s="16">
        <f t="shared" si="4"/>
        <v>99.8598222222222</v>
      </c>
      <c r="AZ7" s="16">
        <f t="shared" si="4"/>
        <v>97.4791245714286</v>
      </c>
      <c r="BA7" s="16">
        <f t="shared" si="4"/>
        <v>97.9230606741573</v>
      </c>
      <c r="BB7" s="16">
        <f t="shared" si="4"/>
        <v>98.5417758046615</v>
      </c>
      <c r="BC7" s="16">
        <f t="shared" si="4"/>
        <v>92.7263198630136</v>
      </c>
      <c r="BD7" s="16">
        <f t="shared" si="4"/>
        <v>99.1476565934065</v>
      </c>
      <c r="BE7" s="16">
        <f t="shared" si="4"/>
        <v>99.0190659340659</v>
      </c>
      <c r="BF7" s="16">
        <f t="shared" si="4"/>
        <v>97.9814510978044</v>
      </c>
      <c r="BG7" s="16">
        <f t="shared" si="4"/>
        <v>98.9415617577197</v>
      </c>
      <c r="BH7" s="16">
        <f t="shared" si="4"/>
        <v>99.7718723828514</v>
      </c>
      <c r="BI7" s="16">
        <f t="shared" si="4"/>
        <v>99.512852</v>
      </c>
      <c r="BJ7" s="16">
        <f t="shared" si="4"/>
        <v>98.6541149966376</v>
      </c>
      <c r="BK7" s="16">
        <f t="shared" si="4"/>
        <v>98.9689166666667</v>
      </c>
      <c r="BL7" s="16">
        <f t="shared" si="4"/>
        <v>97.6084239722635</v>
      </c>
      <c r="BM7" s="16">
        <f t="shared" si="4"/>
        <v>98.1483366850471</v>
      </c>
      <c r="BN7" s="16">
        <f t="shared" ref="BN7:BU7" si="5">100-BN6</f>
        <v>99.6701509803922</v>
      </c>
      <c r="BO7" s="16">
        <f t="shared" si="5"/>
        <v>99.8768019704434</v>
      </c>
      <c r="BP7" s="16">
        <f t="shared" si="5"/>
        <v>95.568847027641</v>
      </c>
      <c r="BQ7" s="16">
        <f t="shared" si="5"/>
        <v>96.8595424231197</v>
      </c>
      <c r="BR7" s="16">
        <f t="shared" si="5"/>
        <v>98.5802643373448</v>
      </c>
      <c r="BS7" s="16">
        <f t="shared" si="5"/>
        <v>98.9388463641334</v>
      </c>
      <c r="BT7" s="16">
        <f t="shared" si="5"/>
        <v>99.3710314278842</v>
      </c>
      <c r="BU7" s="16">
        <f t="shared" si="5"/>
        <v>99.5360280546327</v>
      </c>
      <c r="BV7" s="14">
        <f>AVERAGEIF(B7:BU7,"&lt;&gt;-")</f>
        <v>98.8090276942547</v>
      </c>
    </row>
    <row r="8" ht="16.5" customHeight="1" spans="1:74">
      <c r="A8" s="15" t="s">
        <v>8</v>
      </c>
      <c r="B8" s="16" t="s">
        <v>9</v>
      </c>
      <c r="C8" s="17">
        <f t="shared" ref="C8:BN8" si="6">IF(AND(ABS(C3-B3)&lt;500,ABS(C4-B3)&lt;500),100,IF(AND(ABS(C3-B3)&lt;500,ABS(C4-B3)&gt;=500),0,IF((C3-B3)*(C4-B3)&gt;0,100,0)))</f>
        <v>0</v>
      </c>
      <c r="D8" s="17">
        <f t="shared" si="6"/>
        <v>100</v>
      </c>
      <c r="E8" s="17">
        <f t="shared" si="6"/>
        <v>100</v>
      </c>
      <c r="F8" s="17">
        <f t="shared" si="6"/>
        <v>100</v>
      </c>
      <c r="G8" s="17">
        <f t="shared" si="6"/>
        <v>100</v>
      </c>
      <c r="H8" s="17">
        <f t="shared" si="6"/>
        <v>100</v>
      </c>
      <c r="I8" s="17">
        <f t="shared" si="6"/>
        <v>100</v>
      </c>
      <c r="J8" s="17">
        <f t="shared" si="6"/>
        <v>100</v>
      </c>
      <c r="K8" s="17">
        <f t="shared" si="6"/>
        <v>0</v>
      </c>
      <c r="L8" s="17">
        <f t="shared" si="6"/>
        <v>0</v>
      </c>
      <c r="M8" s="17">
        <f t="shared" si="6"/>
        <v>100</v>
      </c>
      <c r="N8" s="17">
        <f t="shared" si="6"/>
        <v>100</v>
      </c>
      <c r="O8" s="17">
        <f t="shared" si="6"/>
        <v>100</v>
      </c>
      <c r="P8" s="17">
        <f t="shared" si="6"/>
        <v>100</v>
      </c>
      <c r="Q8" s="17">
        <f t="shared" si="6"/>
        <v>100</v>
      </c>
      <c r="R8" s="17">
        <f t="shared" si="6"/>
        <v>100</v>
      </c>
      <c r="S8" s="17">
        <f t="shared" si="6"/>
        <v>100</v>
      </c>
      <c r="T8" s="17">
        <f t="shared" si="6"/>
        <v>100</v>
      </c>
      <c r="U8" s="17">
        <f t="shared" si="6"/>
        <v>100</v>
      </c>
      <c r="V8" s="17">
        <f t="shared" si="6"/>
        <v>0</v>
      </c>
      <c r="W8" s="17">
        <f t="shared" si="6"/>
        <v>100</v>
      </c>
      <c r="X8" s="17">
        <f t="shared" si="6"/>
        <v>100</v>
      </c>
      <c r="Y8" s="17">
        <f t="shared" si="6"/>
        <v>100</v>
      </c>
      <c r="Z8" s="17">
        <f t="shared" si="6"/>
        <v>100</v>
      </c>
      <c r="AA8" s="17">
        <f t="shared" si="6"/>
        <v>100</v>
      </c>
      <c r="AB8" s="17">
        <f t="shared" si="6"/>
        <v>100</v>
      </c>
      <c r="AC8" s="17">
        <f t="shared" si="6"/>
        <v>100</v>
      </c>
      <c r="AD8" s="17">
        <f t="shared" si="6"/>
        <v>100</v>
      </c>
      <c r="AE8" s="17">
        <f t="shared" si="6"/>
        <v>100</v>
      </c>
      <c r="AF8" s="17">
        <f t="shared" si="6"/>
        <v>100</v>
      </c>
      <c r="AG8" s="17">
        <f t="shared" si="6"/>
        <v>100</v>
      </c>
      <c r="AH8" s="17">
        <f t="shared" si="6"/>
        <v>0</v>
      </c>
      <c r="AI8" s="17">
        <f t="shared" si="6"/>
        <v>0</v>
      </c>
      <c r="AJ8" s="17">
        <f t="shared" si="6"/>
        <v>100</v>
      </c>
      <c r="AK8" s="17">
        <f t="shared" si="6"/>
        <v>0</v>
      </c>
      <c r="AL8" s="17">
        <f t="shared" si="6"/>
        <v>100</v>
      </c>
      <c r="AM8" s="17">
        <f t="shared" si="6"/>
        <v>100</v>
      </c>
      <c r="AN8" s="17">
        <f t="shared" si="6"/>
        <v>100</v>
      </c>
      <c r="AO8" s="17">
        <f t="shared" si="6"/>
        <v>100</v>
      </c>
      <c r="AP8" s="17">
        <f t="shared" si="6"/>
        <v>0</v>
      </c>
      <c r="AQ8" s="17">
        <f t="shared" si="6"/>
        <v>0</v>
      </c>
      <c r="AR8" s="17">
        <f t="shared" si="6"/>
        <v>100</v>
      </c>
      <c r="AS8" s="17">
        <f t="shared" si="6"/>
        <v>100</v>
      </c>
      <c r="AT8" s="17">
        <f t="shared" si="6"/>
        <v>0</v>
      </c>
      <c r="AU8" s="17">
        <f t="shared" si="6"/>
        <v>100</v>
      </c>
      <c r="AV8" s="17">
        <f t="shared" si="6"/>
        <v>100</v>
      </c>
      <c r="AW8" s="17">
        <f t="shared" si="6"/>
        <v>100</v>
      </c>
      <c r="AX8" s="17">
        <f t="shared" si="6"/>
        <v>100</v>
      </c>
      <c r="AY8" s="17">
        <f t="shared" si="6"/>
        <v>100</v>
      </c>
      <c r="AZ8" s="17">
        <f t="shared" si="6"/>
        <v>0</v>
      </c>
      <c r="BA8" s="17">
        <f t="shared" si="6"/>
        <v>0</v>
      </c>
      <c r="BB8" s="17">
        <f t="shared" si="6"/>
        <v>0</v>
      </c>
      <c r="BC8" s="17">
        <f t="shared" si="6"/>
        <v>100</v>
      </c>
      <c r="BD8" s="17">
        <f t="shared" si="6"/>
        <v>100</v>
      </c>
      <c r="BE8" s="17">
        <f t="shared" si="6"/>
        <v>100</v>
      </c>
      <c r="BF8" s="17">
        <f t="shared" si="6"/>
        <v>0</v>
      </c>
      <c r="BG8" s="17">
        <f t="shared" si="6"/>
        <v>100</v>
      </c>
      <c r="BH8" s="17">
        <f t="shared" si="6"/>
        <v>100</v>
      </c>
      <c r="BI8" s="17">
        <f t="shared" si="6"/>
        <v>100</v>
      </c>
      <c r="BJ8" s="17">
        <f t="shared" si="6"/>
        <v>100</v>
      </c>
      <c r="BK8" s="17">
        <f t="shared" si="6"/>
        <v>100</v>
      </c>
      <c r="BL8" s="17">
        <f t="shared" si="6"/>
        <v>100</v>
      </c>
      <c r="BM8" s="17">
        <f t="shared" si="6"/>
        <v>0</v>
      </c>
      <c r="BN8" s="17">
        <f t="shared" si="6"/>
        <v>100</v>
      </c>
      <c r="BO8" s="17">
        <f t="shared" ref="BO8:BU8" si="7">IF(AND(ABS(BO3-BN3)&lt;500,ABS(BO4-BN3)&lt;500),100,IF(AND(ABS(BO3-BN3)&lt;500,ABS(BO4-BN3)&gt;=500),0,IF((BO3-BN3)*(BO4-BN3)&gt;0,100,0)))</f>
        <v>100</v>
      </c>
      <c r="BP8" s="17">
        <f t="shared" si="7"/>
        <v>0</v>
      </c>
      <c r="BQ8" s="17">
        <f t="shared" si="7"/>
        <v>0</v>
      </c>
      <c r="BR8" s="17">
        <f t="shared" si="7"/>
        <v>100</v>
      </c>
      <c r="BS8" s="17">
        <f t="shared" si="7"/>
        <v>100</v>
      </c>
      <c r="BT8" s="17">
        <f t="shared" si="7"/>
        <v>100</v>
      </c>
      <c r="BU8" s="17">
        <f t="shared" si="7"/>
        <v>100</v>
      </c>
      <c r="BV8" s="14">
        <f>AVERAGEIF(B8:BU8,"&lt;&gt;N/A")</f>
        <v>76.056338028169</v>
      </c>
    </row>
    <row r="9" ht="16.5" customHeight="1" spans="1:74">
      <c r="A9" s="18" t="s">
        <v>10</v>
      </c>
      <c r="B9" s="19" t="s">
        <v>9</v>
      </c>
      <c r="C9" s="20" t="str">
        <f t="shared" ref="C9:BN9" si="8">IF((C4-B3)&gt;=500,IF(ABS((C3-B3))&lt;500,"N/A",IF((C3-B3)&lt;0,-ABS((C3-B3)/(C4-B3))*100,MIN(100,ABS((C3-B3)/(C4-B3))*100))),IF((C4-B3)&lt;=-500,IF(ABS((C3-B3))&lt;500,"N/A",IF((C3-B3)&gt;0,-ABS((C3-B3)/(C4-B3))*100,MIN(100,ABS((C3-B3)/(C4-B3))*100))),IF(ABS((C3-B3))&lt;500,100,MIN(100,500/ABS((C3-B3))*100))))</f>
        <v>N/A</v>
      </c>
      <c r="D9" s="20">
        <f t="shared" si="8"/>
        <v>100</v>
      </c>
      <c r="E9" s="20">
        <f t="shared" si="8"/>
        <v>100</v>
      </c>
      <c r="F9" s="20">
        <f t="shared" si="8"/>
        <v>100</v>
      </c>
      <c r="G9" s="20">
        <f t="shared" si="8"/>
        <v>100</v>
      </c>
      <c r="H9" s="20">
        <f t="shared" si="8"/>
        <v>100</v>
      </c>
      <c r="I9" s="20">
        <f t="shared" si="8"/>
        <v>100</v>
      </c>
      <c r="J9" s="20">
        <f t="shared" si="8"/>
        <v>73.1707317073207</v>
      </c>
      <c r="K9" s="20">
        <f t="shared" si="8"/>
        <v>81.0810810810766</v>
      </c>
      <c r="L9" s="20">
        <f t="shared" si="8"/>
        <v>85.7142857142907</v>
      </c>
      <c r="M9" s="20">
        <f t="shared" si="8"/>
        <v>100</v>
      </c>
      <c r="N9" s="20">
        <f t="shared" si="8"/>
        <v>100</v>
      </c>
      <c r="O9" s="20">
        <f t="shared" si="8"/>
        <v>100</v>
      </c>
      <c r="P9" s="20">
        <f t="shared" si="8"/>
        <v>100</v>
      </c>
      <c r="Q9" s="20">
        <f t="shared" si="8"/>
        <v>100</v>
      </c>
      <c r="R9" s="20">
        <f t="shared" si="8"/>
        <v>100</v>
      </c>
      <c r="S9" s="20">
        <f t="shared" si="8"/>
        <v>100</v>
      </c>
      <c r="T9" s="20">
        <f t="shared" si="8"/>
        <v>100</v>
      </c>
      <c r="U9" s="20">
        <f t="shared" si="8"/>
        <v>100</v>
      </c>
      <c r="V9" s="20">
        <f t="shared" si="8"/>
        <v>57.6923076923122</v>
      </c>
      <c r="W9" s="20">
        <f t="shared" si="8"/>
        <v>100</v>
      </c>
      <c r="X9" s="20">
        <f t="shared" si="8"/>
        <v>100</v>
      </c>
      <c r="Y9" s="20">
        <f t="shared" si="8"/>
        <v>53.5714285714247</v>
      </c>
      <c r="Z9" s="20">
        <f t="shared" si="8"/>
        <v>83.3333333333333</v>
      </c>
      <c r="AA9" s="20">
        <f t="shared" si="8"/>
        <v>49.1803278688557</v>
      </c>
      <c r="AB9" s="20">
        <f t="shared" si="8"/>
        <v>57.6923076923054</v>
      </c>
      <c r="AC9" s="20">
        <f t="shared" si="8"/>
        <v>100</v>
      </c>
      <c r="AD9" s="20">
        <f t="shared" si="8"/>
        <v>100</v>
      </c>
      <c r="AE9" s="20">
        <f t="shared" si="8"/>
        <v>100</v>
      </c>
      <c r="AF9" s="20">
        <f t="shared" si="8"/>
        <v>100</v>
      </c>
      <c r="AG9" s="20">
        <f t="shared" si="8"/>
        <v>100</v>
      </c>
      <c r="AH9" s="20">
        <f t="shared" si="8"/>
        <v>50</v>
      </c>
      <c r="AI9" s="20">
        <f t="shared" si="8"/>
        <v>40.2144772117973</v>
      </c>
      <c r="AJ9" s="20">
        <f t="shared" si="8"/>
        <v>100</v>
      </c>
      <c r="AK9" s="20" t="str">
        <f t="shared" si="8"/>
        <v>N/A</v>
      </c>
      <c r="AL9" s="20">
        <f t="shared" si="8"/>
        <v>59.0551181102338</v>
      </c>
      <c r="AM9" s="20">
        <f t="shared" si="8"/>
        <v>100</v>
      </c>
      <c r="AN9" s="20">
        <f t="shared" si="8"/>
        <v>100</v>
      </c>
      <c r="AO9" s="20">
        <f t="shared" si="8"/>
        <v>100</v>
      </c>
      <c r="AP9" s="20">
        <f t="shared" si="8"/>
        <v>78.9473684210569</v>
      </c>
      <c r="AQ9" s="20">
        <f t="shared" si="8"/>
        <v>66.6666666666667</v>
      </c>
      <c r="AR9" s="20">
        <f t="shared" si="8"/>
        <v>100</v>
      </c>
      <c r="AS9" s="20">
        <f t="shared" si="8"/>
        <v>100</v>
      </c>
      <c r="AT9" s="20">
        <f t="shared" si="8"/>
        <v>61.2244897959158</v>
      </c>
      <c r="AU9" s="20">
        <f t="shared" si="8"/>
        <v>100</v>
      </c>
      <c r="AV9" s="20">
        <f t="shared" si="8"/>
        <v>42.8571428571454</v>
      </c>
      <c r="AW9" s="20">
        <f t="shared" si="8"/>
        <v>100</v>
      </c>
      <c r="AX9" s="20">
        <f t="shared" si="8"/>
        <v>100</v>
      </c>
      <c r="AY9" s="20">
        <f t="shared" si="8"/>
        <v>100</v>
      </c>
      <c r="AZ9" s="20">
        <f t="shared" si="8"/>
        <v>50</v>
      </c>
      <c r="BA9" s="20">
        <f t="shared" si="8"/>
        <v>66.6666666666667</v>
      </c>
      <c r="BB9" s="20">
        <f t="shared" si="8"/>
        <v>90.9090909090909</v>
      </c>
      <c r="BC9" s="20">
        <f t="shared" si="8"/>
        <v>13.8248847926266</v>
      </c>
      <c r="BD9" s="20">
        <f t="shared" si="8"/>
        <v>100</v>
      </c>
      <c r="BE9" s="20">
        <f t="shared" si="8"/>
        <v>82.4175824175778</v>
      </c>
      <c r="BF9" s="20">
        <f t="shared" si="8"/>
        <v>52.0833333333333</v>
      </c>
      <c r="BG9" s="20">
        <f t="shared" si="8"/>
        <v>100</v>
      </c>
      <c r="BH9" s="20">
        <f t="shared" si="8"/>
        <v>100</v>
      </c>
      <c r="BI9" s="20">
        <f t="shared" si="8"/>
        <v>100</v>
      </c>
      <c r="BJ9" s="20">
        <f t="shared" si="8"/>
        <v>100</v>
      </c>
      <c r="BK9" s="20">
        <f t="shared" si="8"/>
        <v>100</v>
      </c>
      <c r="BL9" s="20">
        <f t="shared" si="8"/>
        <v>39.2156862745098</v>
      </c>
      <c r="BM9" s="20">
        <f t="shared" si="8"/>
        <v>55.0458715596351</v>
      </c>
      <c r="BN9" s="20">
        <f t="shared" si="8"/>
        <v>100</v>
      </c>
      <c r="BO9" s="20">
        <f t="shared" ref="BO9:BU9" si="9">IF((BO4-BN3)&gt;=500,IF(ABS((BO3-BN3))&lt;500,"N/A",IF((BO3-BN3)&lt;0,-ABS((BO3-BN3)/(BO4-BN3))*100,MIN(100,ABS((BO3-BN3)/(BO4-BN3))*100))),IF((BO4-BN3)&lt;=-500,IF(ABS((BO3-BN3))&lt;500,"N/A",IF((BO3-BN3)&gt;0,-ABS((BO3-BN3)/(BO4-BN3))*100,MIN(100,ABS((BO3-BN3)/(BO4-BN3))*100))),IF(ABS((BO3-BN3))&lt;500,100,MIN(100,500/ABS((BO3-BN3))*100))))</f>
        <v>100</v>
      </c>
      <c r="BP9" s="20">
        <f t="shared" si="9"/>
        <v>24.1545893719807</v>
      </c>
      <c r="BQ9" s="20">
        <f t="shared" si="9"/>
        <v>-216.733710873494</v>
      </c>
      <c r="BR9" s="20">
        <f t="shared" si="9"/>
        <v>100</v>
      </c>
      <c r="BS9" s="20">
        <f t="shared" si="9"/>
        <v>100</v>
      </c>
      <c r="BT9" s="20">
        <f t="shared" si="9"/>
        <v>100</v>
      </c>
      <c r="BU9" s="20">
        <f t="shared" si="9"/>
        <v>100</v>
      </c>
      <c r="BV9" s="14">
        <f>IFERROR(AVERAGEIF(B9:BU9,"&lt;&gt;N/A"),"-")</f>
        <v>81.1302182779082</v>
      </c>
    </row>
  </sheetData>
  <mergeCells count="1">
    <mergeCell ref="A1:BV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9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A7" sqref="$A7:$XFD7"/>
    </sheetView>
  </sheetViews>
  <sheetFormatPr defaultColWidth="8.67592592592593" defaultRowHeight="14.4"/>
  <cols>
    <col min="1" max="1" width="22" customWidth="1"/>
    <col min="2" max="74" width="12" customWidth="1"/>
  </cols>
  <sheetData>
    <row r="1" ht="19.5" customHeight="1" spans="1:74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19.5" customHeight="1" spans="1:74">
      <c r="A2" s="2" t="s">
        <v>1</v>
      </c>
      <c r="B2" s="3">
        <v>45655</v>
      </c>
      <c r="C2" s="3">
        <v>45662</v>
      </c>
      <c r="D2" s="3">
        <v>45669</v>
      </c>
      <c r="E2" s="3">
        <v>45676</v>
      </c>
      <c r="F2" s="3">
        <v>45683</v>
      </c>
      <c r="G2" s="3">
        <v>45690</v>
      </c>
      <c r="H2" s="3">
        <v>45697</v>
      </c>
      <c r="I2" s="3">
        <v>45704</v>
      </c>
      <c r="J2" s="3">
        <v>45711</v>
      </c>
      <c r="K2" s="3">
        <v>45718</v>
      </c>
      <c r="L2" s="3">
        <v>45725</v>
      </c>
      <c r="M2" s="3">
        <v>45732</v>
      </c>
      <c r="N2" s="3">
        <v>45739</v>
      </c>
      <c r="O2" s="3">
        <v>45746</v>
      </c>
      <c r="P2" s="3">
        <v>45753</v>
      </c>
      <c r="Q2" s="3">
        <v>45760</v>
      </c>
      <c r="R2" s="3">
        <v>45767</v>
      </c>
      <c r="S2" s="3">
        <v>45774</v>
      </c>
      <c r="T2" s="3">
        <v>45781</v>
      </c>
      <c r="U2" s="3">
        <v>45788</v>
      </c>
      <c r="V2" s="3">
        <v>45795</v>
      </c>
      <c r="W2" s="3">
        <v>45802</v>
      </c>
      <c r="X2" s="3">
        <v>45809</v>
      </c>
      <c r="Y2" s="3">
        <v>45816</v>
      </c>
      <c r="Z2" s="3">
        <v>45823</v>
      </c>
      <c r="AA2" s="3">
        <v>45830</v>
      </c>
      <c r="AB2" s="3">
        <v>45837</v>
      </c>
      <c r="AC2" s="3">
        <v>45844</v>
      </c>
      <c r="AD2" s="3">
        <v>45851</v>
      </c>
      <c r="AE2" s="3">
        <v>45858</v>
      </c>
      <c r="AF2" s="3">
        <v>45865</v>
      </c>
      <c r="AG2" s="3">
        <v>45872</v>
      </c>
      <c r="AH2" s="3">
        <v>45879</v>
      </c>
      <c r="AI2" s="3">
        <v>45886</v>
      </c>
      <c r="AJ2" s="3">
        <v>45893</v>
      </c>
      <c r="AK2" s="3">
        <v>45900</v>
      </c>
      <c r="AL2" s="3">
        <v>45907</v>
      </c>
      <c r="AM2" s="3">
        <v>45914</v>
      </c>
      <c r="AN2" s="3">
        <v>45921</v>
      </c>
      <c r="AO2" s="3">
        <v>45928</v>
      </c>
      <c r="AP2" s="3">
        <v>45935</v>
      </c>
      <c r="AQ2" s="3">
        <v>45942</v>
      </c>
      <c r="AR2" s="3">
        <v>45949</v>
      </c>
      <c r="AS2" s="3">
        <v>45956</v>
      </c>
      <c r="AT2" s="3">
        <v>45963</v>
      </c>
      <c r="AU2" s="3">
        <v>45970</v>
      </c>
      <c r="AV2" s="3">
        <v>45977</v>
      </c>
      <c r="AW2" s="3">
        <v>45984</v>
      </c>
      <c r="AX2" s="3">
        <v>45991</v>
      </c>
      <c r="AY2" s="3">
        <v>45998</v>
      </c>
      <c r="AZ2" s="3">
        <v>46005</v>
      </c>
      <c r="BA2" s="3">
        <v>46012</v>
      </c>
      <c r="BB2" s="3">
        <v>46019</v>
      </c>
      <c r="BC2" s="3">
        <v>46026</v>
      </c>
      <c r="BD2" s="3">
        <v>46033</v>
      </c>
      <c r="BE2" s="3">
        <v>46040</v>
      </c>
      <c r="BF2" s="3">
        <v>46047</v>
      </c>
      <c r="BG2" s="3">
        <v>46054</v>
      </c>
      <c r="BH2" s="3">
        <v>46061</v>
      </c>
      <c r="BI2" s="3">
        <v>46068</v>
      </c>
      <c r="BJ2" s="3">
        <v>46075</v>
      </c>
      <c r="BK2" s="3">
        <v>46082</v>
      </c>
      <c r="BL2" s="3">
        <v>46089</v>
      </c>
      <c r="BM2" s="3">
        <v>46096</v>
      </c>
      <c r="BN2" s="3">
        <v>46103</v>
      </c>
      <c r="BO2" s="3">
        <v>46110</v>
      </c>
      <c r="BP2" s="3">
        <v>46117</v>
      </c>
      <c r="BQ2" s="3">
        <v>46124</v>
      </c>
      <c r="BR2" s="3">
        <v>46131</v>
      </c>
      <c r="BS2" s="3">
        <v>46138</v>
      </c>
      <c r="BT2" s="3">
        <v>46145</v>
      </c>
      <c r="BU2" s="3">
        <v>46152</v>
      </c>
      <c r="BV2" s="4" t="s">
        <v>2</v>
      </c>
    </row>
    <row r="3" ht="16.5" customHeight="1" spans="1:74">
      <c r="A3" s="5" t="s">
        <v>3</v>
      </c>
      <c r="B3" s="6">
        <v>42383.3333333333</v>
      </c>
      <c r="C3" s="6">
        <v>41900</v>
      </c>
      <c r="D3" s="6">
        <v>42325</v>
      </c>
      <c r="E3" s="6">
        <v>41616.6666666667</v>
      </c>
      <c r="F3" s="6">
        <v>41533.3333333333</v>
      </c>
      <c r="G3" s="6">
        <v>41366.6666666667</v>
      </c>
      <c r="H3" s="6">
        <v>42183.3333333333</v>
      </c>
      <c r="I3" s="6">
        <v>41966.6666666667</v>
      </c>
      <c r="J3" s="6">
        <v>42650</v>
      </c>
      <c r="K3" s="6">
        <v>42583.3333333333</v>
      </c>
      <c r="L3" s="6">
        <v>43416.6666666667</v>
      </c>
      <c r="M3" s="6">
        <v>43683.3333333333</v>
      </c>
      <c r="N3" s="6">
        <v>43525</v>
      </c>
      <c r="O3" s="6">
        <v>44600</v>
      </c>
      <c r="P3" s="6">
        <v>45100</v>
      </c>
      <c r="Q3" s="6">
        <v>45966.6666666667</v>
      </c>
      <c r="R3" s="6">
        <v>45850</v>
      </c>
      <c r="S3" s="6">
        <v>45366.6666666667</v>
      </c>
      <c r="T3" s="6">
        <v>45116.6666666667</v>
      </c>
      <c r="U3" s="6">
        <v>44600</v>
      </c>
      <c r="V3" s="6">
        <v>44116.6666666667</v>
      </c>
      <c r="W3" s="6">
        <v>43716.6666666667</v>
      </c>
      <c r="X3" s="6">
        <v>43400</v>
      </c>
      <c r="Y3" s="6">
        <v>42683.3333333333</v>
      </c>
      <c r="Z3" s="6">
        <v>42050</v>
      </c>
      <c r="AA3" s="6">
        <v>41366.6666666667</v>
      </c>
      <c r="AB3" s="6">
        <v>41066.6666666667</v>
      </c>
      <c r="AC3" s="6">
        <v>40466.6666666667</v>
      </c>
      <c r="AD3" s="6">
        <v>39683.3333333333</v>
      </c>
      <c r="AE3" s="6">
        <v>39516.6666666667</v>
      </c>
      <c r="AF3" s="6">
        <v>39050</v>
      </c>
      <c r="AG3" s="6">
        <v>40000</v>
      </c>
      <c r="AH3" s="6">
        <v>40100</v>
      </c>
      <c r="AI3" s="6">
        <v>39940</v>
      </c>
      <c r="AJ3" s="6">
        <v>39825</v>
      </c>
      <c r="AK3" s="6">
        <v>40100</v>
      </c>
      <c r="AL3" s="6">
        <v>39500</v>
      </c>
      <c r="AM3" s="6">
        <v>39483.3333333333</v>
      </c>
      <c r="AN3" s="6">
        <v>39866.6666666667</v>
      </c>
      <c r="AO3" s="6">
        <v>39600</v>
      </c>
      <c r="AP3" s="6">
        <v>39733.3333333333</v>
      </c>
      <c r="AQ3" s="6">
        <v>39260</v>
      </c>
      <c r="AR3" s="6">
        <v>38550</v>
      </c>
      <c r="AS3" s="6">
        <v>37916.6666666667</v>
      </c>
      <c r="AT3" s="6">
        <v>37433.3333333333</v>
      </c>
      <c r="AU3" s="6">
        <v>37683.3333333333</v>
      </c>
      <c r="AV3" s="6">
        <v>37900</v>
      </c>
      <c r="AW3" s="6">
        <v>37933.3333333333</v>
      </c>
      <c r="AX3" s="6">
        <v>38416.6666666667</v>
      </c>
      <c r="AY3" s="6">
        <v>38700</v>
      </c>
      <c r="AZ3" s="6">
        <v>39350</v>
      </c>
      <c r="BA3" s="6">
        <v>39100</v>
      </c>
      <c r="BB3" s="6">
        <v>39633.3333333333</v>
      </c>
      <c r="BC3" s="6">
        <v>44300</v>
      </c>
      <c r="BD3" s="6">
        <v>43400</v>
      </c>
      <c r="BE3" s="6">
        <v>43533.3333333333</v>
      </c>
      <c r="BF3" s="6">
        <v>44116.6666666667</v>
      </c>
      <c r="BG3" s="6">
        <v>43940</v>
      </c>
      <c r="BH3" s="6">
        <v>44483.3333333333</v>
      </c>
      <c r="BI3" s="6">
        <v>45266.6666666667</v>
      </c>
      <c r="BJ3" s="6">
        <v>44566.6666666667</v>
      </c>
      <c r="BK3" s="6">
        <v>43783.3333333333</v>
      </c>
      <c r="BL3" s="6">
        <v>45840</v>
      </c>
      <c r="BM3" s="6">
        <v>46183.3333333333</v>
      </c>
      <c r="BN3" s="6">
        <v>46140</v>
      </c>
      <c r="BO3" s="6">
        <v>45550</v>
      </c>
      <c r="BP3" s="6">
        <v>48000</v>
      </c>
      <c r="BQ3" s="6">
        <v>47900</v>
      </c>
      <c r="BR3" s="6">
        <v>46966</v>
      </c>
      <c r="BS3" s="6">
        <v>46792</v>
      </c>
      <c r="BT3" s="6">
        <v>46425</v>
      </c>
      <c r="BU3" s="6">
        <v>45508</v>
      </c>
      <c r="BV3" s="7"/>
    </row>
    <row r="4" ht="16.5" customHeight="1" spans="1:74">
      <c r="A4" s="8" t="s">
        <v>4</v>
      </c>
      <c r="B4" s="9">
        <v>41835.387</v>
      </c>
      <c r="C4" s="9">
        <v>42710.379</v>
      </c>
      <c r="D4" s="9">
        <v>42084.32</v>
      </c>
      <c r="E4" s="9">
        <v>42221.484</v>
      </c>
      <c r="F4" s="9">
        <v>41541.539</v>
      </c>
      <c r="G4" s="9">
        <v>41319.27</v>
      </c>
      <c r="H4" s="9">
        <v>40844.836</v>
      </c>
      <c r="I4" s="9">
        <v>41573.07</v>
      </c>
      <c r="J4" s="9">
        <v>41781.492</v>
      </c>
      <c r="K4" s="9">
        <v>43096.27</v>
      </c>
      <c r="L4" s="9">
        <v>42967.957</v>
      </c>
      <c r="M4" s="9">
        <v>43208.008</v>
      </c>
      <c r="N4" s="9">
        <v>43289.477</v>
      </c>
      <c r="O4" s="9">
        <v>43008.246</v>
      </c>
      <c r="P4" s="9">
        <v>43943.988</v>
      </c>
      <c r="Q4" s="9">
        <v>44700.648</v>
      </c>
      <c r="R4" s="9">
        <v>45713</v>
      </c>
      <c r="S4" s="9">
        <v>45752.508</v>
      </c>
      <c r="T4" s="9">
        <v>45366.176</v>
      </c>
      <c r="U4" s="9">
        <v>45168.402</v>
      </c>
      <c r="V4" s="9">
        <v>44709.359</v>
      </c>
      <c r="W4" s="9">
        <v>43971.734</v>
      </c>
      <c r="X4" s="9">
        <v>43475.031</v>
      </c>
      <c r="Y4" s="9">
        <v>43083.848</v>
      </c>
      <c r="Z4" s="9">
        <v>42238.145</v>
      </c>
      <c r="AA4" s="9">
        <v>41767.117</v>
      </c>
      <c r="AB4" s="9">
        <v>40958.926</v>
      </c>
      <c r="AC4" s="9">
        <v>40646.852</v>
      </c>
      <c r="AD4" s="9">
        <v>40033.215</v>
      </c>
      <c r="AE4" s="9">
        <v>39286.457</v>
      </c>
      <c r="AF4" s="9">
        <v>39100.91</v>
      </c>
      <c r="AG4" s="9">
        <v>38616.875</v>
      </c>
      <c r="AH4" s="9">
        <v>39681.684</v>
      </c>
      <c r="AI4" s="9">
        <v>39936.562</v>
      </c>
      <c r="AJ4" s="9">
        <v>39854.672</v>
      </c>
      <c r="AK4" s="9">
        <v>39714.371</v>
      </c>
      <c r="AL4" s="9">
        <v>39777.566</v>
      </c>
      <c r="AM4" s="9">
        <v>39342.297</v>
      </c>
      <c r="AN4" s="9">
        <v>39297.961</v>
      </c>
      <c r="AO4" s="9">
        <v>39786.352</v>
      </c>
      <c r="AP4" s="9">
        <v>39759.488</v>
      </c>
      <c r="AQ4" s="9">
        <v>39857.246</v>
      </c>
      <c r="AR4" s="9">
        <v>39422.324</v>
      </c>
      <c r="AS4" s="9">
        <v>38729.523</v>
      </c>
      <c r="AT4" s="9">
        <v>38162.605</v>
      </c>
      <c r="AU4" s="9">
        <v>37547.344</v>
      </c>
      <c r="AV4" s="9">
        <v>37776.188</v>
      </c>
      <c r="AW4" s="9">
        <v>37936.484</v>
      </c>
      <c r="AX4" s="9">
        <v>37849.656</v>
      </c>
      <c r="AY4" s="9">
        <v>38327.555</v>
      </c>
      <c r="AZ4" s="9">
        <v>38566.402</v>
      </c>
      <c r="BA4" s="9">
        <v>39072.695</v>
      </c>
      <c r="BB4" s="9">
        <v>39015.441</v>
      </c>
      <c r="BC4" s="9">
        <v>39764.227</v>
      </c>
      <c r="BD4" s="9">
        <v>43800.957</v>
      </c>
      <c r="BE4" s="9">
        <v>42998.02</v>
      </c>
      <c r="BF4" s="9">
        <v>43366.977</v>
      </c>
      <c r="BG4" s="9">
        <v>43813.961</v>
      </c>
      <c r="BH4" s="9">
        <v>43575.336</v>
      </c>
      <c r="BI4" s="9">
        <v>44368.074</v>
      </c>
      <c r="BJ4" s="9">
        <v>45205.535</v>
      </c>
      <c r="BK4" s="9">
        <v>44628.625</v>
      </c>
      <c r="BL4" s="9">
        <v>44025.867</v>
      </c>
      <c r="BM4" s="9">
        <v>46083.227</v>
      </c>
      <c r="BN4" s="9">
        <v>46489.883</v>
      </c>
      <c r="BO4" s="9">
        <v>46394.156</v>
      </c>
      <c r="BP4" s="9">
        <v>45981.699</v>
      </c>
      <c r="BQ4" s="9">
        <v>48201.273</v>
      </c>
      <c r="BR4" s="9">
        <v>47797.027</v>
      </c>
      <c r="BS4" s="9">
        <v>47045.941</v>
      </c>
      <c r="BT4" s="9">
        <v>46845.141</v>
      </c>
      <c r="BU4" s="9">
        <v>46609.359</v>
      </c>
      <c r="BV4" s="7"/>
    </row>
    <row r="5" ht="16.5" customHeight="1" spans="1:74">
      <c r="A5" s="10" t="s">
        <v>5</v>
      </c>
      <c r="B5" s="11">
        <f t="shared" ref="B5:BM5" si="0">ABS(B3-B4)</f>
        <v>547.946333333297</v>
      </c>
      <c r="C5" s="11">
        <f t="shared" si="0"/>
        <v>810.379000000001</v>
      </c>
      <c r="D5" s="11">
        <f t="shared" si="0"/>
        <v>240.68</v>
      </c>
      <c r="E5" s="11">
        <f t="shared" si="0"/>
        <v>604.817333333296</v>
      </c>
      <c r="F5" s="11">
        <f t="shared" si="0"/>
        <v>8.20566666669765</v>
      </c>
      <c r="G5" s="11">
        <f t="shared" si="0"/>
        <v>47.3966666667038</v>
      </c>
      <c r="H5" s="11">
        <f t="shared" si="0"/>
        <v>1338.4973333333</v>
      </c>
      <c r="I5" s="11">
        <f t="shared" si="0"/>
        <v>393.596666666701</v>
      </c>
      <c r="J5" s="11">
        <f t="shared" si="0"/>
        <v>868.508000000002</v>
      </c>
      <c r="K5" s="11">
        <f t="shared" si="0"/>
        <v>512.936666666697</v>
      </c>
      <c r="L5" s="11">
        <f t="shared" si="0"/>
        <v>448.709666666698</v>
      </c>
      <c r="M5" s="11">
        <f t="shared" si="0"/>
        <v>475.325333333298</v>
      </c>
      <c r="N5" s="11">
        <f t="shared" si="0"/>
        <v>235.523000000001</v>
      </c>
      <c r="O5" s="11">
        <f t="shared" si="0"/>
        <v>1591.754</v>
      </c>
      <c r="P5" s="11">
        <f t="shared" si="0"/>
        <v>1156.012</v>
      </c>
      <c r="Q5" s="11">
        <f t="shared" si="0"/>
        <v>1266.0186666667</v>
      </c>
      <c r="R5" s="11">
        <f t="shared" si="0"/>
        <v>137</v>
      </c>
      <c r="S5" s="11">
        <f t="shared" si="0"/>
        <v>385.841333333301</v>
      </c>
      <c r="T5" s="11">
        <f t="shared" si="0"/>
        <v>249.509333333299</v>
      </c>
      <c r="U5" s="11">
        <f t="shared" si="0"/>
        <v>568.402000000002</v>
      </c>
      <c r="V5" s="11">
        <f t="shared" si="0"/>
        <v>592.692333333296</v>
      </c>
      <c r="W5" s="11">
        <f t="shared" si="0"/>
        <v>255.067333333296</v>
      </c>
      <c r="X5" s="11">
        <f t="shared" si="0"/>
        <v>75.0310000000027</v>
      </c>
      <c r="Y5" s="11">
        <f t="shared" si="0"/>
        <v>400.514666666699</v>
      </c>
      <c r="Z5" s="11">
        <f t="shared" si="0"/>
        <v>188.144999999997</v>
      </c>
      <c r="AA5" s="11">
        <f t="shared" si="0"/>
        <v>400.450333333298</v>
      </c>
      <c r="AB5" s="11">
        <f t="shared" si="0"/>
        <v>107.740666666701</v>
      </c>
      <c r="AC5" s="11">
        <f t="shared" si="0"/>
        <v>180.185333333298</v>
      </c>
      <c r="AD5" s="11">
        <f t="shared" si="0"/>
        <v>349.881666666697</v>
      </c>
      <c r="AE5" s="11">
        <f t="shared" si="0"/>
        <v>230.209666666698</v>
      </c>
      <c r="AF5" s="11">
        <f t="shared" si="0"/>
        <v>50.9100000000035</v>
      </c>
      <c r="AG5" s="11">
        <f t="shared" si="0"/>
        <v>1383.125</v>
      </c>
      <c r="AH5" s="11">
        <f t="shared" si="0"/>
        <v>418.315999999999</v>
      </c>
      <c r="AI5" s="11">
        <f t="shared" si="0"/>
        <v>3.43800000000192</v>
      </c>
      <c r="AJ5" s="11">
        <f t="shared" si="0"/>
        <v>29.6719999999987</v>
      </c>
      <c r="AK5" s="11">
        <f t="shared" si="0"/>
        <v>385.629000000001</v>
      </c>
      <c r="AL5" s="11">
        <f t="shared" si="0"/>
        <v>277.565999999999</v>
      </c>
      <c r="AM5" s="11">
        <f t="shared" si="0"/>
        <v>141.036333333301</v>
      </c>
      <c r="AN5" s="11">
        <f t="shared" si="0"/>
        <v>568.705666666698</v>
      </c>
      <c r="AO5" s="11">
        <f t="shared" si="0"/>
        <v>186.351999999999</v>
      </c>
      <c r="AP5" s="11">
        <f t="shared" si="0"/>
        <v>26.1546666666982</v>
      </c>
      <c r="AQ5" s="11">
        <f t="shared" si="0"/>
        <v>597.245999999999</v>
      </c>
      <c r="AR5" s="11">
        <f t="shared" si="0"/>
        <v>872.324000000001</v>
      </c>
      <c r="AS5" s="11">
        <f t="shared" si="0"/>
        <v>812.8563333333</v>
      </c>
      <c r="AT5" s="11">
        <f t="shared" si="0"/>
        <v>729.271666666704</v>
      </c>
      <c r="AU5" s="11">
        <f t="shared" si="0"/>
        <v>135.989333333302</v>
      </c>
      <c r="AV5" s="11">
        <f t="shared" si="0"/>
        <v>123.811999999998</v>
      </c>
      <c r="AW5" s="11">
        <f t="shared" si="0"/>
        <v>3.15066666669736</v>
      </c>
      <c r="AX5" s="11">
        <f t="shared" si="0"/>
        <v>567.010666666698</v>
      </c>
      <c r="AY5" s="11">
        <f t="shared" si="0"/>
        <v>372.445</v>
      </c>
      <c r="AZ5" s="11">
        <f t="shared" si="0"/>
        <v>783.597999999998</v>
      </c>
      <c r="BA5" s="11">
        <f t="shared" si="0"/>
        <v>27.3050000000003</v>
      </c>
      <c r="BB5" s="11">
        <f t="shared" si="0"/>
        <v>617.8923333333</v>
      </c>
      <c r="BC5" s="11">
        <f t="shared" si="0"/>
        <v>4535.773</v>
      </c>
      <c r="BD5" s="11">
        <f t="shared" si="0"/>
        <v>400.957000000002</v>
      </c>
      <c r="BE5" s="11">
        <f t="shared" si="0"/>
        <v>535.313333333303</v>
      </c>
      <c r="BF5" s="11">
        <f t="shared" si="0"/>
        <v>749.689666666702</v>
      </c>
      <c r="BG5" s="11">
        <f t="shared" si="0"/>
        <v>126.038999999997</v>
      </c>
      <c r="BH5" s="11">
        <f t="shared" si="0"/>
        <v>907.997333333296</v>
      </c>
      <c r="BI5" s="11">
        <f t="shared" si="0"/>
        <v>898.5926666667</v>
      </c>
      <c r="BJ5" s="11">
        <f t="shared" si="0"/>
        <v>638.868333333303</v>
      </c>
      <c r="BK5" s="11">
        <f t="shared" si="0"/>
        <v>845.291666666701</v>
      </c>
      <c r="BL5" s="11">
        <f t="shared" si="0"/>
        <v>1814.133</v>
      </c>
      <c r="BM5" s="11">
        <f t="shared" si="0"/>
        <v>100.1063333333</v>
      </c>
      <c r="BN5" s="11">
        <f t="shared" ref="BN5:BU5" si="1">ABS(BN3-BN4)</f>
        <v>349.883000000002</v>
      </c>
      <c r="BO5" s="11">
        <f t="shared" si="1"/>
        <v>844.156000000003</v>
      </c>
      <c r="BP5" s="11">
        <f t="shared" si="1"/>
        <v>2018.301</v>
      </c>
      <c r="BQ5" s="11">
        <f t="shared" si="1"/>
        <v>301.273000000001</v>
      </c>
      <c r="BR5" s="11">
        <f t="shared" si="1"/>
        <v>831.027000000002</v>
      </c>
      <c r="BS5" s="11">
        <f t="shared" si="1"/>
        <v>253.940999999999</v>
      </c>
      <c r="BT5" s="11">
        <f t="shared" si="1"/>
        <v>420.141000000003</v>
      </c>
      <c r="BU5" s="11">
        <f t="shared" si="1"/>
        <v>1101.359</v>
      </c>
      <c r="BV5" s="7">
        <f>AVERAGE(B5:BU5)</f>
        <v>575.744791666667</v>
      </c>
    </row>
    <row r="6" ht="16.5" customHeight="1" spans="1:74">
      <c r="A6" s="12" t="s">
        <v>6</v>
      </c>
      <c r="B6" s="13">
        <f t="shared" ref="B6:BM6" si="2">IF(B3=0,"-",ABS(B3-B4)/B3*100)</f>
        <v>1.29283444750286</v>
      </c>
      <c r="C6" s="13">
        <f t="shared" si="2"/>
        <v>1.93407875894988</v>
      </c>
      <c r="D6" s="13">
        <f t="shared" si="2"/>
        <v>0.568647371529829</v>
      </c>
      <c r="E6" s="13">
        <f t="shared" si="2"/>
        <v>1.45330556667993</v>
      </c>
      <c r="F6" s="13">
        <f t="shared" si="2"/>
        <v>0.0197568218299302</v>
      </c>
      <c r="G6" s="13">
        <f t="shared" si="2"/>
        <v>0.114576954069389</v>
      </c>
      <c r="H6" s="13">
        <f t="shared" si="2"/>
        <v>3.17304780719075</v>
      </c>
      <c r="I6" s="13">
        <f t="shared" si="2"/>
        <v>0.937879269261399</v>
      </c>
      <c r="J6" s="13">
        <f t="shared" si="2"/>
        <v>2.03636107854631</v>
      </c>
      <c r="K6" s="13">
        <f t="shared" si="2"/>
        <v>1.20454794520555</v>
      </c>
      <c r="L6" s="13">
        <f t="shared" si="2"/>
        <v>1.03349635316706</v>
      </c>
      <c r="M6" s="13">
        <f t="shared" si="2"/>
        <v>1.0881159862647</v>
      </c>
      <c r="N6" s="13">
        <f t="shared" si="2"/>
        <v>0.541121194715683</v>
      </c>
      <c r="O6" s="13">
        <f t="shared" si="2"/>
        <v>3.56895515695067</v>
      </c>
      <c r="P6" s="13">
        <f t="shared" si="2"/>
        <v>2.56321951219513</v>
      </c>
      <c r="Q6" s="13">
        <f t="shared" si="2"/>
        <v>2.75421029731697</v>
      </c>
      <c r="R6" s="13">
        <f t="shared" si="2"/>
        <v>0.298800436205016</v>
      </c>
      <c r="S6" s="13">
        <f t="shared" si="2"/>
        <v>0.850495224099855</v>
      </c>
      <c r="T6" s="13">
        <f t="shared" si="2"/>
        <v>0.553031400073806</v>
      </c>
      <c r="U6" s="13">
        <f t="shared" si="2"/>
        <v>1.27444394618834</v>
      </c>
      <c r="V6" s="13">
        <f t="shared" si="2"/>
        <v>1.34346581035126</v>
      </c>
      <c r="W6" s="13">
        <f t="shared" si="2"/>
        <v>0.583455585207692</v>
      </c>
      <c r="X6" s="13">
        <f t="shared" si="2"/>
        <v>0.172882488479269</v>
      </c>
      <c r="Y6" s="13">
        <f t="shared" si="2"/>
        <v>0.938339711050447</v>
      </c>
      <c r="Z6" s="13">
        <f t="shared" si="2"/>
        <v>0.447431629013072</v>
      </c>
      <c r="AA6" s="13">
        <f t="shared" si="2"/>
        <v>0.968050765511597</v>
      </c>
      <c r="AB6" s="13">
        <f t="shared" si="2"/>
        <v>0.262355519480603</v>
      </c>
      <c r="AC6" s="13">
        <f t="shared" si="2"/>
        <v>0.445268533772566</v>
      </c>
      <c r="AD6" s="13">
        <f t="shared" si="2"/>
        <v>0.881684166316751</v>
      </c>
      <c r="AE6" s="13">
        <f t="shared" si="2"/>
        <v>0.582563475326946</v>
      </c>
      <c r="AF6" s="13">
        <f t="shared" si="2"/>
        <v>0.130371318822032</v>
      </c>
      <c r="AG6" s="13">
        <f t="shared" si="2"/>
        <v>3.4578125</v>
      </c>
      <c r="AH6" s="13">
        <f t="shared" si="2"/>
        <v>1.04318204488778</v>
      </c>
      <c r="AI6" s="13">
        <f t="shared" si="2"/>
        <v>0.00860791186780651</v>
      </c>
      <c r="AJ6" s="13">
        <f t="shared" si="2"/>
        <v>0.074505963590706</v>
      </c>
      <c r="AK6" s="13">
        <f t="shared" si="2"/>
        <v>0.961668329177059</v>
      </c>
      <c r="AL6" s="13">
        <f t="shared" si="2"/>
        <v>0.702698734177212</v>
      </c>
      <c r="AM6" s="13">
        <f t="shared" si="2"/>
        <v>0.357204727733138</v>
      </c>
      <c r="AN6" s="13">
        <f t="shared" si="2"/>
        <v>1.42651923076931</v>
      </c>
      <c r="AO6" s="13">
        <f t="shared" si="2"/>
        <v>0.470585858585856</v>
      </c>
      <c r="AP6" s="13">
        <f t="shared" si="2"/>
        <v>0.0658255033557841</v>
      </c>
      <c r="AQ6" s="13">
        <f t="shared" si="2"/>
        <v>1.52125827814569</v>
      </c>
      <c r="AR6" s="13">
        <f t="shared" si="2"/>
        <v>2.26283787289235</v>
      </c>
      <c r="AS6" s="13">
        <f t="shared" si="2"/>
        <v>2.14379692307683</v>
      </c>
      <c r="AT6" s="13">
        <f t="shared" si="2"/>
        <v>1.94818788958158</v>
      </c>
      <c r="AU6" s="13">
        <f t="shared" si="2"/>
        <v>0.360873949579749</v>
      </c>
      <c r="AV6" s="13">
        <f t="shared" si="2"/>
        <v>0.326680738786275</v>
      </c>
      <c r="AW6" s="13">
        <f t="shared" si="2"/>
        <v>0.00830579964858708</v>
      </c>
      <c r="AX6" s="13">
        <f t="shared" si="2"/>
        <v>1.47594967462047</v>
      </c>
      <c r="AY6" s="13">
        <f t="shared" si="2"/>
        <v>0.962390180878552</v>
      </c>
      <c r="AZ6" s="13">
        <f t="shared" si="2"/>
        <v>1.9913545108005</v>
      </c>
      <c r="BA6" s="13">
        <f t="shared" si="2"/>
        <v>0.0698337595907936</v>
      </c>
      <c r="BB6" s="13">
        <f t="shared" si="2"/>
        <v>1.55902186711514</v>
      </c>
      <c r="BC6" s="13">
        <f t="shared" si="2"/>
        <v>10.2387652370203</v>
      </c>
      <c r="BD6" s="13">
        <f t="shared" si="2"/>
        <v>0.923864055299544</v>
      </c>
      <c r="BE6" s="13">
        <f t="shared" si="2"/>
        <v>1.22966309341494</v>
      </c>
      <c r="BF6" s="13">
        <f t="shared" si="2"/>
        <v>1.69933434076321</v>
      </c>
      <c r="BG6" s="13">
        <f t="shared" si="2"/>
        <v>0.286843422849333</v>
      </c>
      <c r="BH6" s="13">
        <f t="shared" si="2"/>
        <v>2.04120794304975</v>
      </c>
      <c r="BI6" s="13">
        <f t="shared" si="2"/>
        <v>1.98510898379978</v>
      </c>
      <c r="BJ6" s="13">
        <f t="shared" si="2"/>
        <v>1.43351159311885</v>
      </c>
      <c r="BK6" s="13">
        <f t="shared" si="2"/>
        <v>1.93062428625817</v>
      </c>
      <c r="BL6" s="13">
        <f t="shared" si="2"/>
        <v>3.95753272251309</v>
      </c>
      <c r="BM6" s="13">
        <f t="shared" si="2"/>
        <v>0.216758570912957</v>
      </c>
      <c r="BN6" s="13">
        <f t="shared" ref="BN6:BU6" si="3">IF(BN3=0,"-",ABS(BN3-BN4)/BN3*100)</f>
        <v>0.758307325530996</v>
      </c>
      <c r="BO6" s="13">
        <f t="shared" si="3"/>
        <v>1.85325137211856</v>
      </c>
      <c r="BP6" s="13">
        <f t="shared" si="3"/>
        <v>4.20479375</v>
      </c>
      <c r="BQ6" s="13">
        <f t="shared" si="3"/>
        <v>0.628962421711902</v>
      </c>
      <c r="BR6" s="13">
        <f t="shared" si="3"/>
        <v>1.76942256100158</v>
      </c>
      <c r="BS6" s="13">
        <f t="shared" si="3"/>
        <v>0.542701743887842</v>
      </c>
      <c r="BT6" s="13">
        <f t="shared" si="3"/>
        <v>0.90498869143781</v>
      </c>
      <c r="BU6" s="13">
        <f t="shared" si="3"/>
        <v>2.42014371099586</v>
      </c>
      <c r="BV6" s="14">
        <f>AVERAGEIF(B6:BU6,"&lt;&gt;-")</f>
        <v>1.33669003619196</v>
      </c>
    </row>
    <row r="7" ht="16.5" customHeight="1" spans="1:74">
      <c r="A7" s="15" t="s">
        <v>7</v>
      </c>
      <c r="B7" s="16">
        <f t="shared" ref="B7:BM7" si="4">100-B6</f>
        <v>98.7071655524971</v>
      </c>
      <c r="C7" s="16">
        <f t="shared" si="4"/>
        <v>98.0659212410501</v>
      </c>
      <c r="D7" s="16">
        <f t="shared" si="4"/>
        <v>99.4313526284702</v>
      </c>
      <c r="E7" s="16">
        <f t="shared" si="4"/>
        <v>98.5466944333201</v>
      </c>
      <c r="F7" s="16">
        <f t="shared" si="4"/>
        <v>99.9802431781701</v>
      </c>
      <c r="G7" s="16">
        <f t="shared" si="4"/>
        <v>99.8854230459306</v>
      </c>
      <c r="H7" s="16">
        <f t="shared" si="4"/>
        <v>96.8269521928092</v>
      </c>
      <c r="I7" s="16">
        <f t="shared" si="4"/>
        <v>99.0621207307386</v>
      </c>
      <c r="J7" s="16">
        <f t="shared" si="4"/>
        <v>97.9636389214537</v>
      </c>
      <c r="K7" s="16">
        <f t="shared" si="4"/>
        <v>98.7954520547945</v>
      </c>
      <c r="L7" s="16">
        <f t="shared" si="4"/>
        <v>98.9665036468329</v>
      </c>
      <c r="M7" s="16">
        <f t="shared" si="4"/>
        <v>98.9118840137353</v>
      </c>
      <c r="N7" s="16">
        <f t="shared" si="4"/>
        <v>99.4588788052843</v>
      </c>
      <c r="O7" s="16">
        <f t="shared" si="4"/>
        <v>96.4310448430493</v>
      </c>
      <c r="P7" s="16">
        <f t="shared" si="4"/>
        <v>97.4367804878049</v>
      </c>
      <c r="Q7" s="16">
        <f t="shared" si="4"/>
        <v>97.245789702683</v>
      </c>
      <c r="R7" s="16">
        <f t="shared" si="4"/>
        <v>99.701199563795</v>
      </c>
      <c r="S7" s="16">
        <f t="shared" si="4"/>
        <v>99.1495047759001</v>
      </c>
      <c r="T7" s="16">
        <f t="shared" si="4"/>
        <v>99.4469685999262</v>
      </c>
      <c r="U7" s="16">
        <f t="shared" si="4"/>
        <v>98.7255560538117</v>
      </c>
      <c r="V7" s="16">
        <f t="shared" si="4"/>
        <v>98.6565341896487</v>
      </c>
      <c r="W7" s="16">
        <f t="shared" si="4"/>
        <v>99.4165444147923</v>
      </c>
      <c r="X7" s="16">
        <f t="shared" si="4"/>
        <v>99.8271175115207</v>
      </c>
      <c r="Y7" s="16">
        <f t="shared" si="4"/>
        <v>99.0616602889496</v>
      </c>
      <c r="Z7" s="16">
        <f t="shared" si="4"/>
        <v>99.5525683709869</v>
      </c>
      <c r="AA7" s="16">
        <f t="shared" si="4"/>
        <v>99.0319492344884</v>
      </c>
      <c r="AB7" s="16">
        <f t="shared" si="4"/>
        <v>99.7376444805194</v>
      </c>
      <c r="AC7" s="16">
        <f t="shared" si="4"/>
        <v>99.5547314662274</v>
      </c>
      <c r="AD7" s="16">
        <f t="shared" si="4"/>
        <v>99.1183158336833</v>
      </c>
      <c r="AE7" s="16">
        <f t="shared" si="4"/>
        <v>99.4174365246731</v>
      </c>
      <c r="AF7" s="16">
        <f t="shared" si="4"/>
        <v>99.869628681178</v>
      </c>
      <c r="AG7" s="16">
        <f t="shared" si="4"/>
        <v>96.5421875</v>
      </c>
      <c r="AH7" s="16">
        <f t="shared" si="4"/>
        <v>98.9568179551122</v>
      </c>
      <c r="AI7" s="16">
        <f t="shared" si="4"/>
        <v>99.9913920881322</v>
      </c>
      <c r="AJ7" s="16">
        <f t="shared" si="4"/>
        <v>99.9254940364093</v>
      </c>
      <c r="AK7" s="16">
        <f t="shared" si="4"/>
        <v>99.0383316708229</v>
      </c>
      <c r="AL7" s="16">
        <f t="shared" si="4"/>
        <v>99.2973012658228</v>
      </c>
      <c r="AM7" s="16">
        <f t="shared" si="4"/>
        <v>99.6427952722669</v>
      </c>
      <c r="AN7" s="16">
        <f t="shared" si="4"/>
        <v>98.5734807692307</v>
      </c>
      <c r="AO7" s="16">
        <f t="shared" si="4"/>
        <v>99.5294141414142</v>
      </c>
      <c r="AP7" s="16">
        <f t="shared" si="4"/>
        <v>99.9341744966442</v>
      </c>
      <c r="AQ7" s="16">
        <f t="shared" si="4"/>
        <v>98.4787417218543</v>
      </c>
      <c r="AR7" s="16">
        <f t="shared" si="4"/>
        <v>97.7371621271077</v>
      </c>
      <c r="AS7" s="16">
        <f t="shared" si="4"/>
        <v>97.8562030769232</v>
      </c>
      <c r="AT7" s="16">
        <f t="shared" si="4"/>
        <v>98.0518121104184</v>
      </c>
      <c r="AU7" s="16">
        <f t="shared" si="4"/>
        <v>99.6391260504202</v>
      </c>
      <c r="AV7" s="16">
        <f t="shared" si="4"/>
        <v>99.6733192612137</v>
      </c>
      <c r="AW7" s="16">
        <f t="shared" si="4"/>
        <v>99.9916942003514</v>
      </c>
      <c r="AX7" s="16">
        <f t="shared" si="4"/>
        <v>98.5240503253795</v>
      </c>
      <c r="AY7" s="16">
        <f t="shared" si="4"/>
        <v>99.0376098191214</v>
      </c>
      <c r="AZ7" s="16">
        <f t="shared" si="4"/>
        <v>98.0086454891995</v>
      </c>
      <c r="BA7" s="16">
        <f t="shared" si="4"/>
        <v>99.9301662404092</v>
      </c>
      <c r="BB7" s="16">
        <f t="shared" si="4"/>
        <v>98.4409781328849</v>
      </c>
      <c r="BC7" s="16">
        <f t="shared" si="4"/>
        <v>89.7612347629797</v>
      </c>
      <c r="BD7" s="16">
        <f t="shared" si="4"/>
        <v>99.0761359447005</v>
      </c>
      <c r="BE7" s="16">
        <f t="shared" si="4"/>
        <v>98.7703369065851</v>
      </c>
      <c r="BF7" s="16">
        <f t="shared" si="4"/>
        <v>98.3006656592368</v>
      </c>
      <c r="BG7" s="16">
        <f t="shared" si="4"/>
        <v>99.7131565771507</v>
      </c>
      <c r="BH7" s="16">
        <f t="shared" si="4"/>
        <v>97.9587920569502</v>
      </c>
      <c r="BI7" s="16">
        <f t="shared" si="4"/>
        <v>98.0148910162002</v>
      </c>
      <c r="BJ7" s="16">
        <f t="shared" si="4"/>
        <v>98.5664884068811</v>
      </c>
      <c r="BK7" s="16">
        <f t="shared" si="4"/>
        <v>98.0693757137418</v>
      </c>
      <c r="BL7" s="16">
        <f t="shared" si="4"/>
        <v>96.0424672774869</v>
      </c>
      <c r="BM7" s="16">
        <f t="shared" si="4"/>
        <v>99.783241429087</v>
      </c>
      <c r="BN7" s="16">
        <f t="shared" ref="BN7:BU7" si="5">100-BN6</f>
        <v>99.241692674469</v>
      </c>
      <c r="BO7" s="16">
        <f t="shared" si="5"/>
        <v>98.1467486278814</v>
      </c>
      <c r="BP7" s="16">
        <f t="shared" si="5"/>
        <v>95.79520625</v>
      </c>
      <c r="BQ7" s="16">
        <f t="shared" si="5"/>
        <v>99.3710375782881</v>
      </c>
      <c r="BR7" s="16">
        <f t="shared" si="5"/>
        <v>98.2305774389984</v>
      </c>
      <c r="BS7" s="16">
        <f t="shared" si="5"/>
        <v>99.4572982561122</v>
      </c>
      <c r="BT7" s="16">
        <f t="shared" si="5"/>
        <v>99.0950113085622</v>
      </c>
      <c r="BU7" s="16">
        <f t="shared" si="5"/>
        <v>97.5798562890041</v>
      </c>
      <c r="BV7" s="14">
        <f>AVERAGEIF(B7:BU7,"&lt;&gt;-")</f>
        <v>98.6633099638081</v>
      </c>
    </row>
    <row r="8" ht="16.5" customHeight="1" spans="1:74">
      <c r="A8" s="15" t="s">
        <v>8</v>
      </c>
      <c r="B8" s="16" t="s">
        <v>9</v>
      </c>
      <c r="C8" s="17">
        <f t="shared" ref="C8:BN8" si="6">IF(AND(ABS(C3-B3)&lt;500,ABS(C4-B3)&lt;500),100,IF(AND(ABS(C3-B3)&lt;500,ABS(C4-B3)&gt;=500),0,IF((C3-B3)*(C4-B3)&gt;0,100,0)))</f>
        <v>100</v>
      </c>
      <c r="D8" s="17">
        <f t="shared" si="6"/>
        <v>100</v>
      </c>
      <c r="E8" s="17">
        <f t="shared" si="6"/>
        <v>100</v>
      </c>
      <c r="F8" s="17">
        <f t="shared" si="6"/>
        <v>100</v>
      </c>
      <c r="G8" s="17">
        <f t="shared" si="6"/>
        <v>100</v>
      </c>
      <c r="H8" s="17">
        <f t="shared" si="6"/>
        <v>0</v>
      </c>
      <c r="I8" s="17">
        <f t="shared" si="6"/>
        <v>0</v>
      </c>
      <c r="J8" s="17">
        <f t="shared" si="6"/>
        <v>0</v>
      </c>
      <c r="K8" s="17">
        <f t="shared" si="6"/>
        <v>100</v>
      </c>
      <c r="L8" s="17">
        <f t="shared" si="6"/>
        <v>100</v>
      </c>
      <c r="M8" s="17">
        <f t="shared" si="6"/>
        <v>100</v>
      </c>
      <c r="N8" s="17">
        <f t="shared" si="6"/>
        <v>100</v>
      </c>
      <c r="O8" s="17">
        <f t="shared" si="6"/>
        <v>0</v>
      </c>
      <c r="P8" s="17">
        <f t="shared" si="6"/>
        <v>0</v>
      </c>
      <c r="Q8" s="17">
        <f t="shared" si="6"/>
        <v>0</v>
      </c>
      <c r="R8" s="17">
        <f t="shared" si="6"/>
        <v>100</v>
      </c>
      <c r="S8" s="17">
        <f t="shared" si="6"/>
        <v>100</v>
      </c>
      <c r="T8" s="17">
        <f t="shared" si="6"/>
        <v>100</v>
      </c>
      <c r="U8" s="17">
        <f t="shared" si="6"/>
        <v>0</v>
      </c>
      <c r="V8" s="17">
        <f t="shared" si="6"/>
        <v>100</v>
      </c>
      <c r="W8" s="17">
        <f t="shared" si="6"/>
        <v>100</v>
      </c>
      <c r="X8" s="17">
        <f t="shared" si="6"/>
        <v>100</v>
      </c>
      <c r="Y8" s="17">
        <f t="shared" si="6"/>
        <v>100</v>
      </c>
      <c r="Z8" s="17">
        <f t="shared" si="6"/>
        <v>100</v>
      </c>
      <c r="AA8" s="17">
        <f t="shared" si="6"/>
        <v>100</v>
      </c>
      <c r="AB8" s="17">
        <f t="shared" si="6"/>
        <v>100</v>
      </c>
      <c r="AC8" s="17">
        <f t="shared" si="6"/>
        <v>100</v>
      </c>
      <c r="AD8" s="17">
        <f t="shared" si="6"/>
        <v>100</v>
      </c>
      <c r="AE8" s="17">
        <f t="shared" si="6"/>
        <v>100</v>
      </c>
      <c r="AF8" s="17">
        <f t="shared" si="6"/>
        <v>100</v>
      </c>
      <c r="AG8" s="17">
        <f t="shared" si="6"/>
        <v>0</v>
      </c>
      <c r="AH8" s="17">
        <f t="shared" si="6"/>
        <v>100</v>
      </c>
      <c r="AI8" s="17">
        <f t="shared" si="6"/>
        <v>100</v>
      </c>
      <c r="AJ8" s="17">
        <f t="shared" si="6"/>
        <v>100</v>
      </c>
      <c r="AK8" s="17">
        <f t="shared" si="6"/>
        <v>100</v>
      </c>
      <c r="AL8" s="17">
        <f t="shared" si="6"/>
        <v>100</v>
      </c>
      <c r="AM8" s="17">
        <f t="shared" si="6"/>
        <v>100</v>
      </c>
      <c r="AN8" s="17">
        <f t="shared" si="6"/>
        <v>100</v>
      </c>
      <c r="AO8" s="17">
        <f t="shared" si="6"/>
        <v>100</v>
      </c>
      <c r="AP8" s="17">
        <f t="shared" si="6"/>
        <v>100</v>
      </c>
      <c r="AQ8" s="17">
        <f t="shared" si="6"/>
        <v>100</v>
      </c>
      <c r="AR8" s="17">
        <f t="shared" si="6"/>
        <v>0</v>
      </c>
      <c r="AS8" s="17">
        <f t="shared" si="6"/>
        <v>0</v>
      </c>
      <c r="AT8" s="17">
        <f t="shared" si="6"/>
        <v>100</v>
      </c>
      <c r="AU8" s="17">
        <f t="shared" si="6"/>
        <v>100</v>
      </c>
      <c r="AV8" s="17">
        <f t="shared" si="6"/>
        <v>100</v>
      </c>
      <c r="AW8" s="17">
        <f t="shared" si="6"/>
        <v>100</v>
      </c>
      <c r="AX8" s="17">
        <f t="shared" si="6"/>
        <v>100</v>
      </c>
      <c r="AY8" s="17">
        <f t="shared" si="6"/>
        <v>100</v>
      </c>
      <c r="AZ8" s="17">
        <f t="shared" si="6"/>
        <v>0</v>
      </c>
      <c r="BA8" s="17">
        <f t="shared" si="6"/>
        <v>100</v>
      </c>
      <c r="BB8" s="17">
        <f t="shared" si="6"/>
        <v>0</v>
      </c>
      <c r="BC8" s="17">
        <f t="shared" si="6"/>
        <v>100</v>
      </c>
      <c r="BD8" s="17">
        <f t="shared" si="6"/>
        <v>100</v>
      </c>
      <c r="BE8" s="17">
        <f t="shared" si="6"/>
        <v>100</v>
      </c>
      <c r="BF8" s="17">
        <f t="shared" si="6"/>
        <v>0</v>
      </c>
      <c r="BG8" s="17">
        <f t="shared" si="6"/>
        <v>100</v>
      </c>
      <c r="BH8" s="17">
        <f t="shared" si="6"/>
        <v>0</v>
      </c>
      <c r="BI8" s="17">
        <f t="shared" si="6"/>
        <v>0</v>
      </c>
      <c r="BJ8" s="17">
        <f t="shared" si="6"/>
        <v>100</v>
      </c>
      <c r="BK8" s="17">
        <f t="shared" si="6"/>
        <v>0</v>
      </c>
      <c r="BL8" s="17">
        <f t="shared" si="6"/>
        <v>100</v>
      </c>
      <c r="BM8" s="17">
        <f t="shared" si="6"/>
        <v>100</v>
      </c>
      <c r="BN8" s="17">
        <f t="shared" si="6"/>
        <v>100</v>
      </c>
      <c r="BO8" s="17">
        <f t="shared" ref="BO8:BU8" si="7">IF(AND(ABS(BO3-BN3)&lt;500,ABS(BO4-BN3)&lt;500),100,IF(AND(ABS(BO3-BN3)&lt;500,ABS(BO4-BN3)&gt;=500),0,IF((BO3-BN3)*(BO4-BN3)&gt;0,100,0)))</f>
        <v>0</v>
      </c>
      <c r="BP8" s="17">
        <f t="shared" si="7"/>
        <v>100</v>
      </c>
      <c r="BQ8" s="17">
        <f t="shared" si="7"/>
        <v>100</v>
      </c>
      <c r="BR8" s="17">
        <f t="shared" si="7"/>
        <v>100</v>
      </c>
      <c r="BS8" s="17">
        <f t="shared" si="7"/>
        <v>100</v>
      </c>
      <c r="BT8" s="17">
        <f t="shared" si="7"/>
        <v>100</v>
      </c>
      <c r="BU8" s="17">
        <f t="shared" si="7"/>
        <v>0</v>
      </c>
      <c r="BV8" s="14">
        <f>AVERAGEIF(B8:BU8,"&lt;&gt;N/A")</f>
        <v>74.6478873239437</v>
      </c>
    </row>
    <row r="9" ht="16.5" customHeight="1" spans="1:74">
      <c r="A9" s="18" t="s">
        <v>10</v>
      </c>
      <c r="B9" s="19" t="s">
        <v>9</v>
      </c>
      <c r="C9" s="20">
        <f t="shared" ref="C9:BN9" si="8">IF((C4-B3)&gt;=500,IF(ABS((C3-B3))&lt;500,"N/A",IF((C3-B3)&lt;0,-ABS((C3-B3)/(C4-B3))*100,MIN(100,ABS((C3-B3)/(C4-B3))*100))),IF((C4-B3)&lt;=-500,IF(ABS((C3-B3))&lt;500,"N/A",IF((C3-B3)&gt;0,-ABS((C3-B3)/(C4-B3))*100,MIN(100,ABS((C3-B3)/(C4-B3))*100))),IF(ABS((C3-B3))&lt;500,100,MIN(100,500/ABS((C3-B3))*100))))</f>
        <v>100</v>
      </c>
      <c r="D9" s="20">
        <f t="shared" si="8"/>
        <v>100</v>
      </c>
      <c r="E9" s="20">
        <f t="shared" si="8"/>
        <v>70.588235294121</v>
      </c>
      <c r="F9" s="20">
        <f t="shared" si="8"/>
        <v>100</v>
      </c>
      <c r="G9" s="20">
        <f t="shared" si="8"/>
        <v>100</v>
      </c>
      <c r="H9" s="20">
        <f t="shared" si="8"/>
        <v>-156.500320665941</v>
      </c>
      <c r="I9" s="20" t="str">
        <f t="shared" si="8"/>
        <v>N/A</v>
      </c>
      <c r="J9" s="20">
        <f t="shared" si="8"/>
        <v>73.1707317073207</v>
      </c>
      <c r="K9" s="20">
        <f t="shared" si="8"/>
        <v>100</v>
      </c>
      <c r="L9" s="20">
        <f t="shared" si="8"/>
        <v>59.9999999999951</v>
      </c>
      <c r="M9" s="20">
        <f t="shared" si="8"/>
        <v>100</v>
      </c>
      <c r="N9" s="20">
        <f t="shared" si="8"/>
        <v>100</v>
      </c>
      <c r="O9" s="20">
        <f t="shared" si="8"/>
        <v>-208.029352457842</v>
      </c>
      <c r="P9" s="20">
        <f t="shared" si="8"/>
        <v>-76.2181179612565</v>
      </c>
      <c r="Q9" s="20">
        <f t="shared" si="8"/>
        <v>57.6923076923054</v>
      </c>
      <c r="R9" s="20">
        <f t="shared" si="8"/>
        <v>100</v>
      </c>
      <c r="S9" s="20">
        <f t="shared" si="8"/>
        <v>100</v>
      </c>
      <c r="T9" s="20">
        <f t="shared" si="8"/>
        <v>100</v>
      </c>
      <c r="U9" s="20">
        <f t="shared" si="8"/>
        <v>96.7741935483807</v>
      </c>
      <c r="V9" s="20">
        <f t="shared" si="8"/>
        <v>100</v>
      </c>
      <c r="W9" s="20">
        <f t="shared" si="8"/>
        <v>100</v>
      </c>
      <c r="X9" s="20">
        <f t="shared" si="8"/>
        <v>100</v>
      </c>
      <c r="Y9" s="20">
        <f t="shared" si="8"/>
        <v>69.7674418604618</v>
      </c>
      <c r="Z9" s="20">
        <f t="shared" si="8"/>
        <v>78.9473684210569</v>
      </c>
      <c r="AA9" s="20">
        <f t="shared" si="8"/>
        <v>73.1707317073207</v>
      </c>
      <c r="AB9" s="20">
        <f t="shared" si="8"/>
        <v>100</v>
      </c>
      <c r="AC9" s="20">
        <f t="shared" si="8"/>
        <v>83.3333333333333</v>
      </c>
      <c r="AD9" s="20">
        <f t="shared" si="8"/>
        <v>63.829787234037</v>
      </c>
      <c r="AE9" s="20">
        <f t="shared" si="8"/>
        <v>100</v>
      </c>
      <c r="AF9" s="20">
        <f t="shared" si="8"/>
        <v>100</v>
      </c>
      <c r="AG9" s="20">
        <f t="shared" si="8"/>
        <v>52.6315789473684</v>
      </c>
      <c r="AH9" s="20">
        <f t="shared" si="8"/>
        <v>100</v>
      </c>
      <c r="AI9" s="20">
        <f t="shared" si="8"/>
        <v>100</v>
      </c>
      <c r="AJ9" s="20">
        <f t="shared" si="8"/>
        <v>100</v>
      </c>
      <c r="AK9" s="20">
        <f t="shared" si="8"/>
        <v>100</v>
      </c>
      <c r="AL9" s="20">
        <f t="shared" si="8"/>
        <v>83.3333333333333</v>
      </c>
      <c r="AM9" s="20">
        <f t="shared" si="8"/>
        <v>100</v>
      </c>
      <c r="AN9" s="20">
        <f t="shared" si="8"/>
        <v>100</v>
      </c>
      <c r="AO9" s="20">
        <f t="shared" si="8"/>
        <v>100</v>
      </c>
      <c r="AP9" s="20">
        <f t="shared" si="8"/>
        <v>100</v>
      </c>
      <c r="AQ9" s="20">
        <f t="shared" si="8"/>
        <v>100</v>
      </c>
      <c r="AR9" s="20">
        <f t="shared" si="8"/>
        <v>70.4225352112676</v>
      </c>
      <c r="AS9" s="20">
        <f t="shared" si="8"/>
        <v>78.9473684210569</v>
      </c>
      <c r="AT9" s="20">
        <f t="shared" si="8"/>
        <v>100</v>
      </c>
      <c r="AU9" s="20">
        <f t="shared" si="8"/>
        <v>100</v>
      </c>
      <c r="AV9" s="20">
        <f t="shared" si="8"/>
        <v>100</v>
      </c>
      <c r="AW9" s="20">
        <f t="shared" si="8"/>
        <v>100</v>
      </c>
      <c r="AX9" s="20">
        <f t="shared" si="8"/>
        <v>100</v>
      </c>
      <c r="AY9" s="20">
        <f t="shared" si="8"/>
        <v>100</v>
      </c>
      <c r="AZ9" s="20">
        <f t="shared" si="8"/>
        <v>76.9230769230769</v>
      </c>
      <c r="BA9" s="20">
        <f t="shared" si="8"/>
        <v>100</v>
      </c>
      <c r="BB9" s="20">
        <f t="shared" si="8"/>
        <v>93.750000000006</v>
      </c>
      <c r="BC9" s="20">
        <f t="shared" si="8"/>
        <v>10.7142857142856</v>
      </c>
      <c r="BD9" s="20">
        <f t="shared" si="8"/>
        <v>55.5555555555556</v>
      </c>
      <c r="BE9" s="20">
        <f t="shared" si="8"/>
        <v>100</v>
      </c>
      <c r="BF9" s="20">
        <f t="shared" si="8"/>
        <v>85.7142857142757</v>
      </c>
      <c r="BG9" s="20">
        <f t="shared" si="8"/>
        <v>100</v>
      </c>
      <c r="BH9" s="20">
        <f t="shared" si="8"/>
        <v>92.0245398773064</v>
      </c>
      <c r="BI9" s="20">
        <f t="shared" si="8"/>
        <v>63.829787234037</v>
      </c>
      <c r="BJ9" s="20">
        <f t="shared" si="8"/>
        <v>71.4285714285714</v>
      </c>
      <c r="BK9" s="20">
        <f t="shared" si="8"/>
        <v>63.829787234037</v>
      </c>
      <c r="BL9" s="20">
        <f t="shared" si="8"/>
        <v>24.311183144246</v>
      </c>
      <c r="BM9" s="20">
        <f t="shared" si="8"/>
        <v>100</v>
      </c>
      <c r="BN9" s="20">
        <f t="shared" si="8"/>
        <v>100</v>
      </c>
      <c r="BO9" s="20">
        <f t="shared" ref="BO9:BU9" si="9">IF((BO4-BN3)&gt;=500,IF(ABS((BO3-BN3))&lt;500,"N/A",IF((BO3-BN3)&lt;0,-ABS((BO3-BN3)/(BO4-BN3))*100,MIN(100,ABS((BO3-BN3)/(BO4-BN3))*100))),IF((BO4-BN3)&lt;=-500,IF(ABS((BO3-BN3))&lt;500,"N/A",IF((BO3-BN3)&gt;0,-ABS((BO3-BN3)/(BO4-BN3))*100,MIN(100,ABS((BO3-BN3)/(BO4-BN3))*100))),IF(ABS((BO3-BN3))&lt;500,100,MIN(100,500/ABS((BO3-BN3))*100))))</f>
        <v>84.7457627118644</v>
      </c>
      <c r="BP9" s="20">
        <f t="shared" si="9"/>
        <v>20.4081632653061</v>
      </c>
      <c r="BQ9" s="20">
        <f t="shared" si="9"/>
        <v>100</v>
      </c>
      <c r="BR9" s="20">
        <f t="shared" si="9"/>
        <v>53.5331905781585</v>
      </c>
      <c r="BS9" s="20">
        <f t="shared" si="9"/>
        <v>100</v>
      </c>
      <c r="BT9" s="20">
        <f t="shared" si="9"/>
        <v>100</v>
      </c>
      <c r="BU9" s="20">
        <f t="shared" si="9"/>
        <v>54.525627044711</v>
      </c>
      <c r="BV9" s="14">
        <f>IFERROR(AVERAGEIF(B9:BU9,"&lt;&gt;N/A"),"-")</f>
        <v>76.0450710293108</v>
      </c>
    </row>
  </sheetData>
  <mergeCells count="1">
    <mergeCell ref="A1:BV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9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D11" sqref="D11"/>
    </sheetView>
  </sheetViews>
  <sheetFormatPr defaultColWidth="8.67592592592593" defaultRowHeight="14.4"/>
  <cols>
    <col min="1" max="1" width="22" customWidth="1"/>
    <col min="2" max="74" width="12" customWidth="1"/>
  </cols>
  <sheetData>
    <row r="1" ht="19.5" customHeight="1" spans="1:74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</row>
    <row r="2" ht="19.5" customHeight="1" spans="1:74">
      <c r="A2" s="2" t="s">
        <v>1</v>
      </c>
      <c r="B2" s="3">
        <v>45655</v>
      </c>
      <c r="C2" s="3">
        <v>45662</v>
      </c>
      <c r="D2" s="3">
        <v>45669</v>
      </c>
      <c r="E2" s="3">
        <v>45676</v>
      </c>
      <c r="F2" s="3">
        <v>45683</v>
      </c>
      <c r="G2" s="3">
        <v>45690</v>
      </c>
      <c r="H2" s="3">
        <v>45697</v>
      </c>
      <c r="I2" s="3">
        <v>45704</v>
      </c>
      <c r="J2" s="3">
        <v>45711</v>
      </c>
      <c r="K2" s="3">
        <v>45718</v>
      </c>
      <c r="L2" s="3">
        <v>45725</v>
      </c>
      <c r="M2" s="3">
        <v>45732</v>
      </c>
      <c r="N2" s="3">
        <v>45739</v>
      </c>
      <c r="O2" s="3">
        <v>45746</v>
      </c>
      <c r="P2" s="3">
        <v>45753</v>
      </c>
      <c r="Q2" s="3">
        <v>45760</v>
      </c>
      <c r="R2" s="3">
        <v>45767</v>
      </c>
      <c r="S2" s="3">
        <v>45774</v>
      </c>
      <c r="T2" s="3">
        <v>45781</v>
      </c>
      <c r="U2" s="3">
        <v>45788</v>
      </c>
      <c r="V2" s="3">
        <v>45795</v>
      </c>
      <c r="W2" s="3">
        <v>45802</v>
      </c>
      <c r="X2" s="3">
        <v>45809</v>
      </c>
      <c r="Y2" s="3">
        <v>45816</v>
      </c>
      <c r="Z2" s="3">
        <v>45823</v>
      </c>
      <c r="AA2" s="3">
        <v>45830</v>
      </c>
      <c r="AB2" s="3">
        <v>45837</v>
      </c>
      <c r="AC2" s="3">
        <v>45844</v>
      </c>
      <c r="AD2" s="3">
        <v>45851</v>
      </c>
      <c r="AE2" s="3">
        <v>45858</v>
      </c>
      <c r="AF2" s="3">
        <v>45865</v>
      </c>
      <c r="AG2" s="3">
        <v>45872</v>
      </c>
      <c r="AH2" s="3">
        <v>45879</v>
      </c>
      <c r="AI2" s="3">
        <v>45886</v>
      </c>
      <c r="AJ2" s="3">
        <v>45893</v>
      </c>
      <c r="AK2" s="3">
        <v>45900</v>
      </c>
      <c r="AL2" s="3">
        <v>45907</v>
      </c>
      <c r="AM2" s="3">
        <v>45914</v>
      </c>
      <c r="AN2" s="3">
        <v>45921</v>
      </c>
      <c r="AO2" s="3">
        <v>45928</v>
      </c>
      <c r="AP2" s="3">
        <v>45935</v>
      </c>
      <c r="AQ2" s="3">
        <v>45942</v>
      </c>
      <c r="AR2" s="3">
        <v>45949</v>
      </c>
      <c r="AS2" s="3">
        <v>45956</v>
      </c>
      <c r="AT2" s="3">
        <v>45963</v>
      </c>
      <c r="AU2" s="3">
        <v>45970</v>
      </c>
      <c r="AV2" s="3">
        <v>45977</v>
      </c>
      <c r="AW2" s="3">
        <v>45984</v>
      </c>
      <c r="AX2" s="3">
        <v>45991</v>
      </c>
      <c r="AY2" s="3">
        <v>45998</v>
      </c>
      <c r="AZ2" s="3">
        <v>46005</v>
      </c>
      <c r="BA2" s="3">
        <v>46012</v>
      </c>
      <c r="BB2" s="3">
        <v>46019</v>
      </c>
      <c r="BC2" s="3">
        <v>46026</v>
      </c>
      <c r="BD2" s="3">
        <v>46033</v>
      </c>
      <c r="BE2" s="3">
        <v>46040</v>
      </c>
      <c r="BF2" s="3">
        <v>46047</v>
      </c>
      <c r="BG2" s="3">
        <v>46054</v>
      </c>
      <c r="BH2" s="3">
        <v>46061</v>
      </c>
      <c r="BI2" s="3">
        <v>46068</v>
      </c>
      <c r="BJ2" s="3">
        <v>46075</v>
      </c>
      <c r="BK2" s="3">
        <v>46082</v>
      </c>
      <c r="BL2" s="3">
        <v>46089</v>
      </c>
      <c r="BM2" s="3">
        <v>46096</v>
      </c>
      <c r="BN2" s="3">
        <v>46103</v>
      </c>
      <c r="BO2" s="3">
        <v>46110</v>
      </c>
      <c r="BP2" s="3">
        <v>46117</v>
      </c>
      <c r="BQ2" s="3">
        <v>46124</v>
      </c>
      <c r="BR2" s="3">
        <v>46131</v>
      </c>
      <c r="BS2" s="3">
        <v>46138</v>
      </c>
      <c r="BT2" s="3">
        <v>46145</v>
      </c>
      <c r="BU2" s="3">
        <v>46152</v>
      </c>
      <c r="BV2" s="4" t="s">
        <v>2</v>
      </c>
    </row>
    <row r="3" ht="16.5" customHeight="1" spans="1:74">
      <c r="A3" s="5" t="s">
        <v>3</v>
      </c>
      <c r="B3" s="6">
        <v>47100</v>
      </c>
      <c r="C3" s="6">
        <v>47400</v>
      </c>
      <c r="D3" s="6">
        <v>46850</v>
      </c>
      <c r="E3" s="6">
        <v>46616.6666666667</v>
      </c>
      <c r="F3" s="6">
        <v>46400</v>
      </c>
      <c r="G3" s="6">
        <v>47450</v>
      </c>
      <c r="H3" s="6">
        <v>47166.6666666667</v>
      </c>
      <c r="I3" s="6">
        <v>47433.3333333333</v>
      </c>
      <c r="J3" s="6">
        <v>47166.6666666667</v>
      </c>
      <c r="K3" s="6">
        <v>47700</v>
      </c>
      <c r="L3" s="6">
        <v>48033.3333333333</v>
      </c>
      <c r="M3" s="6">
        <v>48050</v>
      </c>
      <c r="N3" s="6">
        <v>49180</v>
      </c>
      <c r="O3" s="6">
        <v>49483.3333333333</v>
      </c>
      <c r="P3" s="6">
        <v>50050</v>
      </c>
      <c r="Q3" s="6">
        <v>50000</v>
      </c>
      <c r="R3" s="6">
        <v>49700</v>
      </c>
      <c r="S3" s="6">
        <v>49350</v>
      </c>
      <c r="T3" s="6">
        <v>48750</v>
      </c>
      <c r="U3" s="6">
        <v>48483.3333333333</v>
      </c>
      <c r="V3" s="6">
        <v>48500</v>
      </c>
      <c r="W3" s="6">
        <v>48100</v>
      </c>
      <c r="X3" s="6">
        <v>47533.3333333333</v>
      </c>
      <c r="Y3" s="6">
        <v>47100</v>
      </c>
      <c r="Z3" s="6">
        <v>46300</v>
      </c>
      <c r="AA3" s="6">
        <v>45750</v>
      </c>
      <c r="AB3" s="6">
        <v>45266.6666666667</v>
      </c>
      <c r="AC3" s="6">
        <v>45000</v>
      </c>
      <c r="AD3" s="6">
        <v>45066.6666666667</v>
      </c>
      <c r="AE3" s="6">
        <v>44716.6666666667</v>
      </c>
      <c r="AF3" s="6">
        <v>45516.6666666667</v>
      </c>
      <c r="AG3" s="6">
        <v>45983.3333333333</v>
      </c>
      <c r="AH3" s="6">
        <v>45980</v>
      </c>
      <c r="AI3" s="6">
        <v>45875</v>
      </c>
      <c r="AJ3" s="6">
        <v>45850</v>
      </c>
      <c r="AK3" s="6">
        <v>45283.3333333333</v>
      </c>
      <c r="AL3" s="6">
        <v>45000</v>
      </c>
      <c r="AM3" s="6">
        <v>45416.6666666667</v>
      </c>
      <c r="AN3" s="6">
        <v>45050</v>
      </c>
      <c r="AO3" s="6">
        <v>44950</v>
      </c>
      <c r="AP3" s="6">
        <v>44520</v>
      </c>
      <c r="AQ3" s="6">
        <v>43983.3333333333</v>
      </c>
      <c r="AR3" s="6">
        <v>43283.3333333333</v>
      </c>
      <c r="AS3" s="6">
        <v>42666.6666666667</v>
      </c>
      <c r="AT3" s="6">
        <v>42883.3333333333</v>
      </c>
      <c r="AU3" s="6">
        <v>42833.3333333333</v>
      </c>
      <c r="AV3" s="6">
        <v>43050</v>
      </c>
      <c r="AW3" s="6">
        <v>43483.3333333333</v>
      </c>
      <c r="AX3" s="6">
        <v>44033.3333333333</v>
      </c>
      <c r="AY3" s="6">
        <v>44683.3333333333</v>
      </c>
      <c r="AZ3" s="6">
        <v>44300</v>
      </c>
      <c r="BA3" s="6">
        <v>44916.6666666667</v>
      </c>
      <c r="BB3" s="6">
        <v>45860</v>
      </c>
      <c r="BC3" s="6">
        <v>49333.3333333333</v>
      </c>
      <c r="BD3" s="6">
        <v>48250</v>
      </c>
      <c r="BE3" s="6">
        <v>48566.6666666667</v>
      </c>
      <c r="BF3" s="6">
        <v>49333.3333333333</v>
      </c>
      <c r="BG3" s="6">
        <v>49140</v>
      </c>
      <c r="BH3" s="6">
        <v>49366.6666666667</v>
      </c>
      <c r="BI3" s="6">
        <v>49800</v>
      </c>
      <c r="BJ3" s="6">
        <v>49116.6666666667</v>
      </c>
      <c r="BK3" s="6">
        <v>48550</v>
      </c>
      <c r="BL3" s="6">
        <v>50320</v>
      </c>
      <c r="BM3" s="6">
        <v>50283.3333333333</v>
      </c>
      <c r="BN3" s="6">
        <v>50040</v>
      </c>
      <c r="BO3" s="6">
        <v>49533.3333333333</v>
      </c>
      <c r="BP3" s="6">
        <v>51460</v>
      </c>
      <c r="BQ3" s="6">
        <v>52483</v>
      </c>
      <c r="BR3" s="6">
        <v>52450</v>
      </c>
      <c r="BS3" s="6">
        <v>51967</v>
      </c>
      <c r="BT3" s="6">
        <v>51750</v>
      </c>
      <c r="BU3" s="6">
        <v>50950</v>
      </c>
      <c r="BV3" s="7"/>
    </row>
    <row r="4" ht="16.5" customHeight="1" spans="1:74">
      <c r="A4" s="8" t="s">
        <v>4</v>
      </c>
      <c r="B4" s="9">
        <v>47676.145</v>
      </c>
      <c r="C4" s="9">
        <v>47168.582</v>
      </c>
      <c r="D4" s="9">
        <v>47632.488</v>
      </c>
      <c r="E4" s="9">
        <v>47156.246</v>
      </c>
      <c r="F4" s="9">
        <v>46813.816</v>
      </c>
      <c r="G4" s="9">
        <v>46539.23</v>
      </c>
      <c r="H4" s="9">
        <v>47684.383</v>
      </c>
      <c r="I4" s="9">
        <v>47387.484</v>
      </c>
      <c r="J4" s="9">
        <v>47324.395</v>
      </c>
      <c r="K4" s="9">
        <v>47092.52</v>
      </c>
      <c r="L4" s="9">
        <v>47677.699</v>
      </c>
      <c r="M4" s="9">
        <v>47658.27</v>
      </c>
      <c r="N4" s="9">
        <v>47528.109</v>
      </c>
      <c r="O4" s="9">
        <v>48552.695</v>
      </c>
      <c r="P4" s="9">
        <v>49026.457</v>
      </c>
      <c r="Q4" s="9">
        <v>49697.879</v>
      </c>
      <c r="R4" s="9">
        <v>49589.074</v>
      </c>
      <c r="S4" s="9">
        <v>49328.156</v>
      </c>
      <c r="T4" s="9">
        <v>49258.977</v>
      </c>
      <c r="U4" s="9">
        <v>48904.297</v>
      </c>
      <c r="V4" s="9">
        <v>48567.031</v>
      </c>
      <c r="W4" s="9">
        <v>48403.699</v>
      </c>
      <c r="X4" s="9">
        <v>47872.789</v>
      </c>
      <c r="Y4" s="9">
        <v>47320.32</v>
      </c>
      <c r="Z4" s="9">
        <v>46906.52</v>
      </c>
      <c r="AA4" s="9">
        <v>46229.48</v>
      </c>
      <c r="AB4" s="9">
        <v>45793.91</v>
      </c>
      <c r="AC4" s="9">
        <v>45202.496</v>
      </c>
      <c r="AD4" s="9">
        <v>44823.129</v>
      </c>
      <c r="AE4" s="9">
        <v>44908.574</v>
      </c>
      <c r="AF4" s="9">
        <v>44500.133</v>
      </c>
      <c r="AG4" s="9">
        <v>45411.867</v>
      </c>
      <c r="AH4" s="9">
        <v>45926.172</v>
      </c>
      <c r="AI4" s="9">
        <v>45917.113</v>
      </c>
      <c r="AJ4" s="9">
        <v>45903.969</v>
      </c>
      <c r="AK4" s="9">
        <v>45617.75</v>
      </c>
      <c r="AL4" s="9">
        <v>45104.066</v>
      </c>
      <c r="AM4" s="9">
        <v>45145.594</v>
      </c>
      <c r="AN4" s="9">
        <v>45406.895</v>
      </c>
      <c r="AO4" s="9">
        <v>45004.211</v>
      </c>
      <c r="AP4" s="9">
        <v>44954.875</v>
      </c>
      <c r="AQ4" s="9">
        <v>44638.184</v>
      </c>
      <c r="AR4" s="9">
        <v>44174.734</v>
      </c>
      <c r="AS4" s="9">
        <v>43474.918</v>
      </c>
      <c r="AT4" s="9">
        <v>43053.797</v>
      </c>
      <c r="AU4" s="9">
        <v>43193.699</v>
      </c>
      <c r="AV4" s="9">
        <v>42942.312</v>
      </c>
      <c r="AW4" s="9">
        <v>43268.844</v>
      </c>
      <c r="AX4" s="9">
        <v>43397.973</v>
      </c>
      <c r="AY4" s="9">
        <v>43952.926</v>
      </c>
      <c r="AZ4" s="9">
        <v>44634.387</v>
      </c>
      <c r="BA4" s="9">
        <v>44194.953</v>
      </c>
      <c r="BB4" s="9">
        <v>44604</v>
      </c>
      <c r="BC4" s="9">
        <v>45654.48</v>
      </c>
      <c r="BD4" s="9">
        <v>49092.828</v>
      </c>
      <c r="BE4" s="9">
        <v>47950.723</v>
      </c>
      <c r="BF4" s="9">
        <v>48416.043</v>
      </c>
      <c r="BG4" s="9">
        <v>49166.094</v>
      </c>
      <c r="BH4" s="9">
        <v>49049.414</v>
      </c>
      <c r="BI4" s="9">
        <v>49382.52</v>
      </c>
      <c r="BJ4" s="9">
        <v>49928.828</v>
      </c>
      <c r="BK4" s="9">
        <v>49254.492</v>
      </c>
      <c r="BL4" s="9">
        <v>48574.391</v>
      </c>
      <c r="BM4" s="9">
        <v>50271.68</v>
      </c>
      <c r="BN4" s="9">
        <v>50070.352</v>
      </c>
      <c r="BO4" s="9">
        <v>49929.891</v>
      </c>
      <c r="BP4" s="9">
        <v>49708.293</v>
      </c>
      <c r="BQ4" s="9">
        <v>51868.285</v>
      </c>
      <c r="BR4" s="9">
        <v>52624.078</v>
      </c>
      <c r="BS4" s="9">
        <v>52847.926</v>
      </c>
      <c r="BT4" s="9">
        <v>51985.023</v>
      </c>
      <c r="BU4" s="9">
        <v>51873.113</v>
      </c>
      <c r="BV4" s="7"/>
    </row>
    <row r="5" ht="16.5" customHeight="1" spans="1:74">
      <c r="A5" s="10" t="s">
        <v>5</v>
      </c>
      <c r="B5" s="11">
        <f t="shared" ref="B5:BM5" si="0">ABS(B3-B4)</f>
        <v>576.144999999997</v>
      </c>
      <c r="C5" s="11">
        <f t="shared" si="0"/>
        <v>231.417999999998</v>
      </c>
      <c r="D5" s="11">
        <f t="shared" si="0"/>
        <v>782.487999999998</v>
      </c>
      <c r="E5" s="11">
        <f t="shared" si="0"/>
        <v>539.579333333299</v>
      </c>
      <c r="F5" s="11">
        <f t="shared" si="0"/>
        <v>413.815999999999</v>
      </c>
      <c r="G5" s="11">
        <f t="shared" si="0"/>
        <v>910.769999999997</v>
      </c>
      <c r="H5" s="11">
        <f t="shared" si="0"/>
        <v>517.716333333301</v>
      </c>
      <c r="I5" s="11">
        <f t="shared" si="0"/>
        <v>45.8493333333026</v>
      </c>
      <c r="J5" s="11">
        <f t="shared" si="0"/>
        <v>157.728333333296</v>
      </c>
      <c r="K5" s="11">
        <f t="shared" si="0"/>
        <v>607.480000000003</v>
      </c>
      <c r="L5" s="11">
        <f t="shared" si="0"/>
        <v>355.634333333299</v>
      </c>
      <c r="M5" s="11">
        <f t="shared" si="0"/>
        <v>391.730000000003</v>
      </c>
      <c r="N5" s="11">
        <f t="shared" si="0"/>
        <v>1651.891</v>
      </c>
      <c r="O5" s="11">
        <f t="shared" si="0"/>
        <v>930.6383333333</v>
      </c>
      <c r="P5" s="11">
        <f t="shared" si="0"/>
        <v>1023.543</v>
      </c>
      <c r="Q5" s="11">
        <f t="shared" si="0"/>
        <v>302.120999999999</v>
      </c>
      <c r="R5" s="11">
        <f t="shared" si="0"/>
        <v>110.925999999999</v>
      </c>
      <c r="S5" s="11">
        <f t="shared" si="0"/>
        <v>21.8439999999973</v>
      </c>
      <c r="T5" s="11">
        <f t="shared" si="0"/>
        <v>508.976999999999</v>
      </c>
      <c r="U5" s="11">
        <f t="shared" si="0"/>
        <v>420.963666666699</v>
      </c>
      <c r="V5" s="11">
        <f t="shared" si="0"/>
        <v>67.0310000000027</v>
      </c>
      <c r="W5" s="11">
        <f t="shared" si="0"/>
        <v>303.699000000001</v>
      </c>
      <c r="X5" s="11">
        <f t="shared" si="0"/>
        <v>339.455666666698</v>
      </c>
      <c r="Y5" s="11">
        <f t="shared" si="0"/>
        <v>220.32</v>
      </c>
      <c r="Z5" s="11">
        <f t="shared" si="0"/>
        <v>606.519999999997</v>
      </c>
      <c r="AA5" s="11">
        <f t="shared" si="0"/>
        <v>479.480000000003</v>
      </c>
      <c r="AB5" s="11">
        <f t="shared" si="0"/>
        <v>527.243333333303</v>
      </c>
      <c r="AC5" s="11">
        <f t="shared" si="0"/>
        <v>202.495999999999</v>
      </c>
      <c r="AD5" s="11">
        <f t="shared" si="0"/>
        <v>243.5376666667</v>
      </c>
      <c r="AE5" s="11">
        <f t="shared" si="0"/>
        <v>191.9073333333</v>
      </c>
      <c r="AF5" s="11">
        <f t="shared" si="0"/>
        <v>1016.5336666667</v>
      </c>
      <c r="AG5" s="11">
        <f t="shared" si="0"/>
        <v>571.466333333301</v>
      </c>
      <c r="AH5" s="11">
        <f t="shared" si="0"/>
        <v>53.8280000000013</v>
      </c>
      <c r="AI5" s="11">
        <f t="shared" si="0"/>
        <v>42.1129999999976</v>
      </c>
      <c r="AJ5" s="11">
        <f t="shared" si="0"/>
        <v>53.9689999999973</v>
      </c>
      <c r="AK5" s="11">
        <f t="shared" si="0"/>
        <v>334.416666666701</v>
      </c>
      <c r="AL5" s="11">
        <f t="shared" si="0"/>
        <v>104.065999999999</v>
      </c>
      <c r="AM5" s="11">
        <f t="shared" si="0"/>
        <v>271.072666666703</v>
      </c>
      <c r="AN5" s="11">
        <f t="shared" si="0"/>
        <v>356.894999999997</v>
      </c>
      <c r="AO5" s="11">
        <f t="shared" si="0"/>
        <v>54.211000000003</v>
      </c>
      <c r="AP5" s="11">
        <f t="shared" si="0"/>
        <v>434.875</v>
      </c>
      <c r="AQ5" s="11">
        <f t="shared" si="0"/>
        <v>654.850666666702</v>
      </c>
      <c r="AR5" s="11">
        <f t="shared" si="0"/>
        <v>891.400666666697</v>
      </c>
      <c r="AS5" s="11">
        <f t="shared" si="0"/>
        <v>808.251333333297</v>
      </c>
      <c r="AT5" s="11">
        <f t="shared" si="0"/>
        <v>170.463666666699</v>
      </c>
      <c r="AU5" s="11">
        <f t="shared" si="0"/>
        <v>360.365666666701</v>
      </c>
      <c r="AV5" s="11">
        <f t="shared" si="0"/>
        <v>107.688000000002</v>
      </c>
      <c r="AW5" s="11">
        <f t="shared" si="0"/>
        <v>214.489333333302</v>
      </c>
      <c r="AX5" s="11">
        <f t="shared" si="0"/>
        <v>635.360333333301</v>
      </c>
      <c r="AY5" s="11">
        <f t="shared" si="0"/>
        <v>730.4073333333</v>
      </c>
      <c r="AZ5" s="11">
        <f t="shared" si="0"/>
        <v>334.387000000002</v>
      </c>
      <c r="BA5" s="11">
        <f t="shared" si="0"/>
        <v>721.713666666699</v>
      </c>
      <c r="BB5" s="11">
        <f t="shared" si="0"/>
        <v>1256</v>
      </c>
      <c r="BC5" s="11">
        <f t="shared" si="0"/>
        <v>3678.8533333333</v>
      </c>
      <c r="BD5" s="11">
        <f t="shared" si="0"/>
        <v>842.828000000001</v>
      </c>
      <c r="BE5" s="11">
        <f t="shared" si="0"/>
        <v>615.943666666702</v>
      </c>
      <c r="BF5" s="11">
        <f t="shared" si="0"/>
        <v>917.290333333302</v>
      </c>
      <c r="BG5" s="11">
        <f t="shared" si="0"/>
        <v>26.0939999999973</v>
      </c>
      <c r="BH5" s="11">
        <f t="shared" si="0"/>
        <v>317.252666666704</v>
      </c>
      <c r="BI5" s="11">
        <f t="shared" si="0"/>
        <v>417.480000000003</v>
      </c>
      <c r="BJ5" s="11">
        <f t="shared" si="0"/>
        <v>812.161333333301</v>
      </c>
      <c r="BK5" s="11">
        <f t="shared" si="0"/>
        <v>704.491999999998</v>
      </c>
      <c r="BL5" s="11">
        <f t="shared" si="0"/>
        <v>1745.609</v>
      </c>
      <c r="BM5" s="11">
        <f t="shared" si="0"/>
        <v>11.6533333332991</v>
      </c>
      <c r="BN5" s="11">
        <f t="shared" ref="BN5:BU5" si="1">ABS(BN3-BN4)</f>
        <v>30.351999999999</v>
      </c>
      <c r="BO5" s="11">
        <f t="shared" si="1"/>
        <v>396.557666666704</v>
      </c>
      <c r="BP5" s="11">
        <f t="shared" si="1"/>
        <v>1751.707</v>
      </c>
      <c r="BQ5" s="11">
        <f t="shared" si="1"/>
        <v>614.714999999997</v>
      </c>
      <c r="BR5" s="11">
        <f t="shared" si="1"/>
        <v>174.078000000001</v>
      </c>
      <c r="BS5" s="11">
        <f t="shared" si="1"/>
        <v>880.925999999999</v>
      </c>
      <c r="BT5" s="11">
        <f t="shared" si="1"/>
        <v>235.023000000001</v>
      </c>
      <c r="BU5" s="11">
        <f t="shared" si="1"/>
        <v>923.112999999998</v>
      </c>
      <c r="BV5" s="7">
        <f>AVERAGE(B5:BU5)</f>
        <v>541.081972222221</v>
      </c>
    </row>
    <row r="6" ht="16.5" customHeight="1" spans="1:74">
      <c r="A6" s="12" t="s">
        <v>6</v>
      </c>
      <c r="B6" s="13">
        <f t="shared" ref="B6:BM6" si="2">IF(B3=0,"-",ABS(B3-B4)/B3*100)</f>
        <v>1.22323779193205</v>
      </c>
      <c r="C6" s="13">
        <f t="shared" si="2"/>
        <v>0.488223628691979</v>
      </c>
      <c r="D6" s="13">
        <f t="shared" si="2"/>
        <v>1.67019850586979</v>
      </c>
      <c r="E6" s="13">
        <f t="shared" si="2"/>
        <v>1.15748158741501</v>
      </c>
      <c r="F6" s="13">
        <f t="shared" si="2"/>
        <v>0.891844827586205</v>
      </c>
      <c r="G6" s="13">
        <f t="shared" si="2"/>
        <v>1.91943097997892</v>
      </c>
      <c r="H6" s="13">
        <f t="shared" si="2"/>
        <v>1.09763180212007</v>
      </c>
      <c r="I6" s="13">
        <f t="shared" si="2"/>
        <v>0.0966605762473001</v>
      </c>
      <c r="J6" s="13">
        <f t="shared" si="2"/>
        <v>0.334406360423949</v>
      </c>
      <c r="K6" s="13">
        <f t="shared" si="2"/>
        <v>1.27354297693921</v>
      </c>
      <c r="L6" s="13">
        <f t="shared" si="2"/>
        <v>0.74039070090208</v>
      </c>
      <c r="M6" s="13">
        <f t="shared" si="2"/>
        <v>0.815254942767957</v>
      </c>
      <c r="N6" s="13">
        <f t="shared" si="2"/>
        <v>3.35886742578284</v>
      </c>
      <c r="O6" s="13">
        <f t="shared" si="2"/>
        <v>1.88071067699555</v>
      </c>
      <c r="P6" s="13">
        <f t="shared" si="2"/>
        <v>2.04504095904095</v>
      </c>
      <c r="Q6" s="13">
        <f t="shared" si="2"/>
        <v>0.604241999999998</v>
      </c>
      <c r="R6" s="13">
        <f t="shared" si="2"/>
        <v>0.223191146881287</v>
      </c>
      <c r="S6" s="13">
        <f t="shared" si="2"/>
        <v>0.0442634245187382</v>
      </c>
      <c r="T6" s="13">
        <f t="shared" si="2"/>
        <v>1.04405538461538</v>
      </c>
      <c r="U6" s="13">
        <f t="shared" si="2"/>
        <v>0.868264695771811</v>
      </c>
      <c r="V6" s="13">
        <f t="shared" si="2"/>
        <v>0.138208247422686</v>
      </c>
      <c r="W6" s="13">
        <f t="shared" si="2"/>
        <v>0.631390852390853</v>
      </c>
      <c r="X6" s="13">
        <f t="shared" si="2"/>
        <v>0.7141423562413</v>
      </c>
      <c r="Y6" s="13">
        <f t="shared" si="2"/>
        <v>0.467770700636942</v>
      </c>
      <c r="Z6" s="13">
        <f t="shared" si="2"/>
        <v>1.30997840172785</v>
      </c>
      <c r="AA6" s="13">
        <f t="shared" si="2"/>
        <v>1.048043715847</v>
      </c>
      <c r="AB6" s="13">
        <f t="shared" si="2"/>
        <v>1.16474963181142</v>
      </c>
      <c r="AC6" s="13">
        <f t="shared" si="2"/>
        <v>0.449991111111109</v>
      </c>
      <c r="AD6" s="13">
        <f t="shared" si="2"/>
        <v>0.540394230769304</v>
      </c>
      <c r="AE6" s="13">
        <f t="shared" si="2"/>
        <v>0.429162877375996</v>
      </c>
      <c r="AF6" s="13">
        <f t="shared" si="2"/>
        <v>2.23332186012457</v>
      </c>
      <c r="AG6" s="13">
        <f t="shared" si="2"/>
        <v>1.24276839434571</v>
      </c>
      <c r="AH6" s="13">
        <f t="shared" si="2"/>
        <v>0.117068290561116</v>
      </c>
      <c r="AI6" s="13">
        <f t="shared" si="2"/>
        <v>0.0917994550408666</v>
      </c>
      <c r="AJ6" s="13">
        <f t="shared" si="2"/>
        <v>0.117707742639034</v>
      </c>
      <c r="AK6" s="13">
        <f t="shared" si="2"/>
        <v>0.738498343761577</v>
      </c>
      <c r="AL6" s="13">
        <f t="shared" si="2"/>
        <v>0.231257777777775</v>
      </c>
      <c r="AM6" s="13">
        <f t="shared" si="2"/>
        <v>0.596857247706502</v>
      </c>
      <c r="AN6" s="13">
        <f t="shared" si="2"/>
        <v>0.792219755826852</v>
      </c>
      <c r="AO6" s="13">
        <f t="shared" si="2"/>
        <v>0.120602892102343</v>
      </c>
      <c r="AP6" s="13">
        <f t="shared" si="2"/>
        <v>0.976808176100629</v>
      </c>
      <c r="AQ6" s="13">
        <f t="shared" si="2"/>
        <v>1.48886093217136</v>
      </c>
      <c r="AR6" s="13">
        <f t="shared" si="2"/>
        <v>2.05945475548717</v>
      </c>
      <c r="AS6" s="13">
        <f t="shared" si="2"/>
        <v>1.89433906249991</v>
      </c>
      <c r="AT6" s="13">
        <f t="shared" si="2"/>
        <v>0.397505635445082</v>
      </c>
      <c r="AU6" s="13">
        <f t="shared" si="2"/>
        <v>0.841320622568175</v>
      </c>
      <c r="AV6" s="13">
        <f t="shared" si="2"/>
        <v>0.250146341463419</v>
      </c>
      <c r="AW6" s="13">
        <f t="shared" si="2"/>
        <v>0.493267918742742</v>
      </c>
      <c r="AX6" s="13">
        <f t="shared" si="2"/>
        <v>1.44290764572287</v>
      </c>
      <c r="AY6" s="13">
        <f t="shared" si="2"/>
        <v>1.63463036180522</v>
      </c>
      <c r="AZ6" s="13">
        <f t="shared" si="2"/>
        <v>0.754823927765243</v>
      </c>
      <c r="BA6" s="13">
        <f t="shared" si="2"/>
        <v>1.60678367346946</v>
      </c>
      <c r="BB6" s="13">
        <f t="shared" si="2"/>
        <v>2.73877017008286</v>
      </c>
      <c r="BC6" s="13">
        <f t="shared" si="2"/>
        <v>7.45713513513506</v>
      </c>
      <c r="BD6" s="13">
        <f t="shared" si="2"/>
        <v>1.74679378238342</v>
      </c>
      <c r="BE6" s="13">
        <f t="shared" si="2"/>
        <v>1.26824365133844</v>
      </c>
      <c r="BF6" s="13">
        <f t="shared" si="2"/>
        <v>1.85937229729723</v>
      </c>
      <c r="BG6" s="13">
        <f t="shared" si="2"/>
        <v>0.0531013431013377</v>
      </c>
      <c r="BH6" s="13">
        <f t="shared" si="2"/>
        <v>0.642645509790756</v>
      </c>
      <c r="BI6" s="13">
        <f t="shared" si="2"/>
        <v>0.838313253012055</v>
      </c>
      <c r="BJ6" s="13">
        <f t="shared" si="2"/>
        <v>1.65353512046142</v>
      </c>
      <c r="BK6" s="13">
        <f t="shared" si="2"/>
        <v>1.45106488156539</v>
      </c>
      <c r="BL6" s="13">
        <f t="shared" si="2"/>
        <v>3.46901629570747</v>
      </c>
      <c r="BM6" s="13">
        <f t="shared" si="2"/>
        <v>0.0231753397413969</v>
      </c>
      <c r="BN6" s="13">
        <f t="shared" ref="BN6:BU6" si="3">IF(BN3=0,"-",ABS(BN3-BN4)/BN3*100)</f>
        <v>0.0606554756195023</v>
      </c>
      <c r="BO6" s="13">
        <f t="shared" si="3"/>
        <v>0.800587483176388</v>
      </c>
      <c r="BP6" s="13">
        <f t="shared" si="3"/>
        <v>3.40401671200933</v>
      </c>
      <c r="BQ6" s="13">
        <f t="shared" si="3"/>
        <v>1.17126498104147</v>
      </c>
      <c r="BR6" s="13">
        <f t="shared" si="3"/>
        <v>0.331893231649192</v>
      </c>
      <c r="BS6" s="13">
        <f t="shared" si="3"/>
        <v>1.69516423884388</v>
      </c>
      <c r="BT6" s="13">
        <f t="shared" si="3"/>
        <v>0.454150724637683</v>
      </c>
      <c r="BU6" s="13">
        <f t="shared" si="3"/>
        <v>1.81180176643768</v>
      </c>
      <c r="BV6" s="14">
        <f>AVERAGEIF(B6:BU6,"&lt;&gt;-")</f>
        <v>1.13506145452743</v>
      </c>
    </row>
    <row r="7" ht="16.5" customHeight="1" spans="1:74">
      <c r="A7" s="15" t="s">
        <v>7</v>
      </c>
      <c r="B7" s="16">
        <f t="shared" ref="B7:BM7" si="4">100-B6</f>
        <v>98.776762208068</v>
      </c>
      <c r="C7" s="16">
        <f t="shared" si="4"/>
        <v>99.511776371308</v>
      </c>
      <c r="D7" s="16">
        <f t="shared" si="4"/>
        <v>98.3298014941302</v>
      </c>
      <c r="E7" s="16">
        <f t="shared" si="4"/>
        <v>98.842518412585</v>
      </c>
      <c r="F7" s="16">
        <f t="shared" si="4"/>
        <v>99.1081551724138</v>
      </c>
      <c r="G7" s="16">
        <f t="shared" si="4"/>
        <v>98.0805690200211</v>
      </c>
      <c r="H7" s="16">
        <f t="shared" si="4"/>
        <v>98.9023681978799</v>
      </c>
      <c r="I7" s="16">
        <f t="shared" si="4"/>
        <v>99.9033394237527</v>
      </c>
      <c r="J7" s="16">
        <f t="shared" si="4"/>
        <v>99.665593639576</v>
      </c>
      <c r="K7" s="16">
        <f t="shared" si="4"/>
        <v>98.7264570230608</v>
      </c>
      <c r="L7" s="16">
        <f t="shared" si="4"/>
        <v>99.2596092990979</v>
      </c>
      <c r="M7" s="16">
        <f t="shared" si="4"/>
        <v>99.184745057232</v>
      </c>
      <c r="N7" s="16">
        <f t="shared" si="4"/>
        <v>96.6411325742172</v>
      </c>
      <c r="O7" s="16">
        <f t="shared" si="4"/>
        <v>98.1192893230045</v>
      </c>
      <c r="P7" s="16">
        <f t="shared" si="4"/>
        <v>97.954959040959</v>
      </c>
      <c r="Q7" s="16">
        <f t="shared" si="4"/>
        <v>99.395758</v>
      </c>
      <c r="R7" s="16">
        <f t="shared" si="4"/>
        <v>99.7768088531187</v>
      </c>
      <c r="S7" s="16">
        <f t="shared" si="4"/>
        <v>99.9557365754813</v>
      </c>
      <c r="T7" s="16">
        <f t="shared" si="4"/>
        <v>98.9559446153846</v>
      </c>
      <c r="U7" s="16">
        <f t="shared" si="4"/>
        <v>99.1317353042282</v>
      </c>
      <c r="V7" s="16">
        <f t="shared" si="4"/>
        <v>99.8617917525773</v>
      </c>
      <c r="W7" s="16">
        <f t="shared" si="4"/>
        <v>99.3686091476091</v>
      </c>
      <c r="X7" s="16">
        <f t="shared" si="4"/>
        <v>99.2858576437587</v>
      </c>
      <c r="Y7" s="16">
        <f t="shared" si="4"/>
        <v>99.5322292993631</v>
      </c>
      <c r="Z7" s="16">
        <f t="shared" si="4"/>
        <v>98.6900215982721</v>
      </c>
      <c r="AA7" s="16">
        <f t="shared" si="4"/>
        <v>98.951956284153</v>
      </c>
      <c r="AB7" s="16">
        <f t="shared" si="4"/>
        <v>98.8352503681886</v>
      </c>
      <c r="AC7" s="16">
        <f t="shared" si="4"/>
        <v>99.5500088888889</v>
      </c>
      <c r="AD7" s="16">
        <f t="shared" si="4"/>
        <v>99.4596057692307</v>
      </c>
      <c r="AE7" s="16">
        <f t="shared" si="4"/>
        <v>99.570837122624</v>
      </c>
      <c r="AF7" s="16">
        <f t="shared" si="4"/>
        <v>97.7666781398754</v>
      </c>
      <c r="AG7" s="16">
        <f t="shared" si="4"/>
        <v>98.7572316056543</v>
      </c>
      <c r="AH7" s="16">
        <f t="shared" si="4"/>
        <v>99.8829317094389</v>
      </c>
      <c r="AI7" s="16">
        <f t="shared" si="4"/>
        <v>99.9082005449591</v>
      </c>
      <c r="AJ7" s="16">
        <f t="shared" si="4"/>
        <v>99.882292257361</v>
      </c>
      <c r="AK7" s="16">
        <f t="shared" si="4"/>
        <v>99.2615016562384</v>
      </c>
      <c r="AL7" s="16">
        <f t="shared" si="4"/>
        <v>99.7687422222222</v>
      </c>
      <c r="AM7" s="16">
        <f t="shared" si="4"/>
        <v>99.4031427522935</v>
      </c>
      <c r="AN7" s="16">
        <f t="shared" si="4"/>
        <v>99.2077802441732</v>
      </c>
      <c r="AO7" s="16">
        <f t="shared" si="4"/>
        <v>99.8793971078977</v>
      </c>
      <c r="AP7" s="16">
        <f t="shared" si="4"/>
        <v>99.0231918238994</v>
      </c>
      <c r="AQ7" s="16">
        <f t="shared" si="4"/>
        <v>98.5111390678286</v>
      </c>
      <c r="AR7" s="16">
        <f t="shared" si="4"/>
        <v>97.9405452445128</v>
      </c>
      <c r="AS7" s="16">
        <f t="shared" si="4"/>
        <v>98.1056609375001</v>
      </c>
      <c r="AT7" s="16">
        <f t="shared" si="4"/>
        <v>99.6024943645549</v>
      </c>
      <c r="AU7" s="16">
        <f t="shared" si="4"/>
        <v>99.1586793774318</v>
      </c>
      <c r="AV7" s="16">
        <f t="shared" si="4"/>
        <v>99.7498536585366</v>
      </c>
      <c r="AW7" s="16">
        <f t="shared" si="4"/>
        <v>99.5067320812573</v>
      </c>
      <c r="AX7" s="16">
        <f t="shared" si="4"/>
        <v>98.5570923542771</v>
      </c>
      <c r="AY7" s="16">
        <f t="shared" si="4"/>
        <v>98.3653696381948</v>
      </c>
      <c r="AZ7" s="16">
        <f t="shared" si="4"/>
        <v>99.2451760722348</v>
      </c>
      <c r="BA7" s="16">
        <f t="shared" si="4"/>
        <v>98.3932163265305</v>
      </c>
      <c r="BB7" s="16">
        <f t="shared" si="4"/>
        <v>97.2612298299171</v>
      </c>
      <c r="BC7" s="16">
        <f t="shared" si="4"/>
        <v>92.5428648648649</v>
      </c>
      <c r="BD7" s="16">
        <f t="shared" si="4"/>
        <v>98.2532062176166</v>
      </c>
      <c r="BE7" s="16">
        <f t="shared" si="4"/>
        <v>98.7317563486616</v>
      </c>
      <c r="BF7" s="16">
        <f t="shared" si="4"/>
        <v>98.1406277027028</v>
      </c>
      <c r="BG7" s="16">
        <f t="shared" si="4"/>
        <v>99.9468986568987</v>
      </c>
      <c r="BH7" s="16">
        <f t="shared" si="4"/>
        <v>99.3573544902092</v>
      </c>
      <c r="BI7" s="16">
        <f t="shared" si="4"/>
        <v>99.1616867469879</v>
      </c>
      <c r="BJ7" s="16">
        <f t="shared" si="4"/>
        <v>98.3464648795386</v>
      </c>
      <c r="BK7" s="16">
        <f t="shared" si="4"/>
        <v>98.5489351184346</v>
      </c>
      <c r="BL7" s="16">
        <f t="shared" si="4"/>
        <v>96.5309837042925</v>
      </c>
      <c r="BM7" s="16">
        <f t="shared" si="4"/>
        <v>99.9768246602586</v>
      </c>
      <c r="BN7" s="16">
        <f t="shared" ref="BN7:BU7" si="5">100-BN6</f>
        <v>99.9393445243805</v>
      </c>
      <c r="BO7" s="16">
        <f t="shared" si="5"/>
        <v>99.1994125168236</v>
      </c>
      <c r="BP7" s="16">
        <f t="shared" si="5"/>
        <v>96.5959832879907</v>
      </c>
      <c r="BQ7" s="16">
        <f t="shared" si="5"/>
        <v>98.8287350189585</v>
      </c>
      <c r="BR7" s="16">
        <f t="shared" si="5"/>
        <v>99.6681067683508</v>
      </c>
      <c r="BS7" s="16">
        <f t="shared" si="5"/>
        <v>98.3048357611561</v>
      </c>
      <c r="BT7" s="16">
        <f t="shared" si="5"/>
        <v>99.5458492753623</v>
      </c>
      <c r="BU7" s="16">
        <f t="shared" si="5"/>
        <v>98.1881982335623</v>
      </c>
      <c r="BV7" s="14">
        <f>AVERAGEIF(B7:BU7,"&lt;&gt;-")</f>
        <v>98.8649385454726</v>
      </c>
    </row>
    <row r="8" ht="16.5" customHeight="1" spans="1:74">
      <c r="A8" s="15" t="s">
        <v>8</v>
      </c>
      <c r="B8" s="16" t="s">
        <v>9</v>
      </c>
      <c r="C8" s="17">
        <f t="shared" ref="C8:BN8" si="6">IF(AND(ABS(C3-B3)&lt;500,ABS(C4-B3)&lt;500),100,IF(AND(ABS(C3-B3)&lt;500,ABS(C4-B3)&gt;=500),0,IF((C3-B3)*(C4-B3)&gt;0,100,0)))</f>
        <v>100</v>
      </c>
      <c r="D8" s="17">
        <f t="shared" si="6"/>
        <v>0</v>
      </c>
      <c r="E8" s="17">
        <f t="shared" si="6"/>
        <v>100</v>
      </c>
      <c r="F8" s="17">
        <f t="shared" si="6"/>
        <v>100</v>
      </c>
      <c r="G8" s="17">
        <f t="shared" si="6"/>
        <v>100</v>
      </c>
      <c r="H8" s="17">
        <f t="shared" si="6"/>
        <v>100</v>
      </c>
      <c r="I8" s="17">
        <f t="shared" si="6"/>
        <v>100</v>
      </c>
      <c r="J8" s="17">
        <f t="shared" si="6"/>
        <v>100</v>
      </c>
      <c r="K8" s="17">
        <f t="shared" si="6"/>
        <v>0</v>
      </c>
      <c r="L8" s="17">
        <f t="shared" si="6"/>
        <v>100</v>
      </c>
      <c r="M8" s="17">
        <f t="shared" si="6"/>
        <v>100</v>
      </c>
      <c r="N8" s="17">
        <f t="shared" si="6"/>
        <v>0</v>
      </c>
      <c r="O8" s="17">
        <f t="shared" si="6"/>
        <v>0</v>
      </c>
      <c r="P8" s="17">
        <f t="shared" si="6"/>
        <v>0</v>
      </c>
      <c r="Q8" s="17">
        <f t="shared" si="6"/>
        <v>100</v>
      </c>
      <c r="R8" s="17">
        <f t="shared" si="6"/>
        <v>100</v>
      </c>
      <c r="S8" s="17">
        <f t="shared" si="6"/>
        <v>100</v>
      </c>
      <c r="T8" s="17">
        <f t="shared" si="6"/>
        <v>100</v>
      </c>
      <c r="U8" s="17">
        <f t="shared" si="6"/>
        <v>100</v>
      </c>
      <c r="V8" s="17">
        <f t="shared" si="6"/>
        <v>100</v>
      </c>
      <c r="W8" s="17">
        <f t="shared" si="6"/>
        <v>100</v>
      </c>
      <c r="X8" s="17">
        <f t="shared" si="6"/>
        <v>100</v>
      </c>
      <c r="Y8" s="17">
        <f t="shared" si="6"/>
        <v>100</v>
      </c>
      <c r="Z8" s="17">
        <f t="shared" si="6"/>
        <v>100</v>
      </c>
      <c r="AA8" s="17">
        <f t="shared" si="6"/>
        <v>100</v>
      </c>
      <c r="AB8" s="17">
        <f t="shared" si="6"/>
        <v>100</v>
      </c>
      <c r="AC8" s="17">
        <f t="shared" si="6"/>
        <v>100</v>
      </c>
      <c r="AD8" s="17">
        <f t="shared" si="6"/>
        <v>100</v>
      </c>
      <c r="AE8" s="17">
        <f t="shared" si="6"/>
        <v>100</v>
      </c>
      <c r="AF8" s="17">
        <f t="shared" si="6"/>
        <v>0</v>
      </c>
      <c r="AG8" s="17">
        <f t="shared" si="6"/>
        <v>100</v>
      </c>
      <c r="AH8" s="17">
        <f t="shared" si="6"/>
        <v>100</v>
      </c>
      <c r="AI8" s="17">
        <f t="shared" si="6"/>
        <v>100</v>
      </c>
      <c r="AJ8" s="17">
        <f t="shared" si="6"/>
        <v>100</v>
      </c>
      <c r="AK8" s="17">
        <f t="shared" si="6"/>
        <v>100</v>
      </c>
      <c r="AL8" s="17">
        <f t="shared" si="6"/>
        <v>100</v>
      </c>
      <c r="AM8" s="17">
        <f t="shared" si="6"/>
        <v>100</v>
      </c>
      <c r="AN8" s="17">
        <f t="shared" si="6"/>
        <v>100</v>
      </c>
      <c r="AO8" s="17">
        <f t="shared" si="6"/>
        <v>100</v>
      </c>
      <c r="AP8" s="17">
        <f t="shared" si="6"/>
        <v>100</v>
      </c>
      <c r="AQ8" s="17">
        <f t="shared" si="6"/>
        <v>0</v>
      </c>
      <c r="AR8" s="17">
        <f t="shared" si="6"/>
        <v>0</v>
      </c>
      <c r="AS8" s="17">
        <f t="shared" si="6"/>
        <v>0</v>
      </c>
      <c r="AT8" s="17">
        <f t="shared" si="6"/>
        <v>100</v>
      </c>
      <c r="AU8" s="17">
        <f t="shared" si="6"/>
        <v>100</v>
      </c>
      <c r="AV8" s="17">
        <f t="shared" si="6"/>
        <v>100</v>
      </c>
      <c r="AW8" s="17">
        <f t="shared" si="6"/>
        <v>100</v>
      </c>
      <c r="AX8" s="17">
        <f t="shared" si="6"/>
        <v>0</v>
      </c>
      <c r="AY8" s="17">
        <f t="shared" si="6"/>
        <v>0</v>
      </c>
      <c r="AZ8" s="17">
        <f t="shared" si="6"/>
        <v>100</v>
      </c>
      <c r="BA8" s="17">
        <f t="shared" si="6"/>
        <v>0</v>
      </c>
      <c r="BB8" s="17">
        <f t="shared" si="6"/>
        <v>0</v>
      </c>
      <c r="BC8" s="17">
        <f t="shared" si="6"/>
        <v>0</v>
      </c>
      <c r="BD8" s="17">
        <f t="shared" si="6"/>
        <v>100</v>
      </c>
      <c r="BE8" s="17">
        <f t="shared" si="6"/>
        <v>100</v>
      </c>
      <c r="BF8" s="17">
        <f t="shared" si="6"/>
        <v>0</v>
      </c>
      <c r="BG8" s="17">
        <f t="shared" si="6"/>
        <v>100</v>
      </c>
      <c r="BH8" s="17">
        <f t="shared" si="6"/>
        <v>100</v>
      </c>
      <c r="BI8" s="17">
        <f t="shared" si="6"/>
        <v>100</v>
      </c>
      <c r="BJ8" s="17">
        <f t="shared" si="6"/>
        <v>0</v>
      </c>
      <c r="BK8" s="17">
        <f t="shared" si="6"/>
        <v>0</v>
      </c>
      <c r="BL8" s="17">
        <f t="shared" si="6"/>
        <v>100</v>
      </c>
      <c r="BM8" s="17">
        <f t="shared" si="6"/>
        <v>100</v>
      </c>
      <c r="BN8" s="17">
        <f t="shared" si="6"/>
        <v>100</v>
      </c>
      <c r="BO8" s="17">
        <f t="shared" ref="BO8:BU8" si="7">IF(AND(ABS(BO3-BN3)&lt;500,ABS(BO4-BN3)&lt;500),100,IF(AND(ABS(BO3-BN3)&lt;500,ABS(BO4-BN3)&gt;=500),0,IF((BO3-BN3)*(BO4-BN3)&gt;0,100,0)))</f>
        <v>100</v>
      </c>
      <c r="BP8" s="17">
        <f t="shared" si="7"/>
        <v>100</v>
      </c>
      <c r="BQ8" s="17">
        <f t="shared" si="7"/>
        <v>100</v>
      </c>
      <c r="BR8" s="17">
        <f t="shared" si="7"/>
        <v>100</v>
      </c>
      <c r="BS8" s="17">
        <f t="shared" si="7"/>
        <v>100</v>
      </c>
      <c r="BT8" s="17">
        <f t="shared" si="7"/>
        <v>100</v>
      </c>
      <c r="BU8" s="17">
        <f t="shared" si="7"/>
        <v>0</v>
      </c>
      <c r="BV8" s="14">
        <f>AVERAGEIF(B8:BU8,"&lt;&gt;N/A")</f>
        <v>74.6478873239437</v>
      </c>
    </row>
    <row r="9" ht="16.5" customHeight="1" spans="1:74">
      <c r="A9" s="18" t="s">
        <v>10</v>
      </c>
      <c r="B9" s="19" t="s">
        <v>9</v>
      </c>
      <c r="C9" s="20">
        <f t="shared" ref="C9:BN9" si="8">IF((C4-B3)&gt;=500,IF(ABS((C3-B3))&lt;500,"N/A",IF((C3-B3)&lt;0,-ABS((C3-B3)/(C4-B3))*100,MIN(100,ABS((C3-B3)/(C4-B3))*100))),IF((C4-B3)&lt;=-500,IF(ABS((C3-B3))&lt;500,"N/A",IF((C3-B3)&gt;0,-ABS((C3-B3)/(C4-B3))*100,MIN(100,ABS((C3-B3)/(C4-B3))*100))),IF(ABS((C3-B3))&lt;500,100,MIN(100,500/ABS((C3-B3))*100))))</f>
        <v>100</v>
      </c>
      <c r="D9" s="20">
        <f t="shared" si="8"/>
        <v>90.9090909090909</v>
      </c>
      <c r="E9" s="20">
        <f t="shared" si="8"/>
        <v>100</v>
      </c>
      <c r="F9" s="20">
        <f t="shared" si="8"/>
        <v>100</v>
      </c>
      <c r="G9" s="20">
        <f t="shared" si="8"/>
        <v>47.6190476190476</v>
      </c>
      <c r="H9" s="20">
        <f t="shared" si="8"/>
        <v>100</v>
      </c>
      <c r="I9" s="20">
        <f t="shared" si="8"/>
        <v>100</v>
      </c>
      <c r="J9" s="20">
        <f t="shared" si="8"/>
        <v>100</v>
      </c>
      <c r="K9" s="20">
        <f t="shared" si="8"/>
        <v>93.750000000006</v>
      </c>
      <c r="L9" s="20">
        <f t="shared" si="8"/>
        <v>100</v>
      </c>
      <c r="M9" s="20">
        <f t="shared" si="8"/>
        <v>100</v>
      </c>
      <c r="N9" s="20">
        <f t="shared" si="8"/>
        <v>-216.52030788038</v>
      </c>
      <c r="O9" s="20" t="str">
        <f t="shared" si="8"/>
        <v>N/A</v>
      </c>
      <c r="P9" s="20">
        <f t="shared" si="8"/>
        <v>88.2352941176418</v>
      </c>
      <c r="Q9" s="20">
        <f t="shared" si="8"/>
        <v>100</v>
      </c>
      <c r="R9" s="20">
        <f t="shared" si="8"/>
        <v>100</v>
      </c>
      <c r="S9" s="20">
        <f t="shared" si="8"/>
        <v>100</v>
      </c>
      <c r="T9" s="20">
        <f t="shared" si="8"/>
        <v>83.3333333333333</v>
      </c>
      <c r="U9" s="20">
        <f t="shared" si="8"/>
        <v>100</v>
      </c>
      <c r="V9" s="20">
        <f t="shared" si="8"/>
        <v>100</v>
      </c>
      <c r="W9" s="20">
        <f t="shared" si="8"/>
        <v>100</v>
      </c>
      <c r="X9" s="20">
        <f t="shared" si="8"/>
        <v>88.2352941176418</v>
      </c>
      <c r="Y9" s="20">
        <f t="shared" si="8"/>
        <v>100</v>
      </c>
      <c r="Z9" s="20">
        <f t="shared" si="8"/>
        <v>62.5</v>
      </c>
      <c r="AA9" s="20">
        <f t="shared" si="8"/>
        <v>90.9090909090909</v>
      </c>
      <c r="AB9" s="20">
        <f t="shared" si="8"/>
        <v>100</v>
      </c>
      <c r="AC9" s="20">
        <f t="shared" si="8"/>
        <v>100</v>
      </c>
      <c r="AD9" s="20">
        <f t="shared" si="8"/>
        <v>100</v>
      </c>
      <c r="AE9" s="20">
        <f t="shared" si="8"/>
        <v>100</v>
      </c>
      <c r="AF9" s="20">
        <f t="shared" si="8"/>
        <v>62.5</v>
      </c>
      <c r="AG9" s="20">
        <f t="shared" si="8"/>
        <v>100</v>
      </c>
      <c r="AH9" s="20">
        <f t="shared" si="8"/>
        <v>100</v>
      </c>
      <c r="AI9" s="20">
        <f t="shared" si="8"/>
        <v>100</v>
      </c>
      <c r="AJ9" s="20">
        <f t="shared" si="8"/>
        <v>100</v>
      </c>
      <c r="AK9" s="20">
        <f t="shared" si="8"/>
        <v>88.2352941176418</v>
      </c>
      <c r="AL9" s="20">
        <f t="shared" si="8"/>
        <v>100</v>
      </c>
      <c r="AM9" s="20">
        <f t="shared" si="8"/>
        <v>100</v>
      </c>
      <c r="AN9" s="20">
        <f t="shared" si="8"/>
        <v>100</v>
      </c>
      <c r="AO9" s="20">
        <f t="shared" si="8"/>
        <v>100</v>
      </c>
      <c r="AP9" s="20">
        <f t="shared" si="8"/>
        <v>100</v>
      </c>
      <c r="AQ9" s="20">
        <f t="shared" si="8"/>
        <v>93.1677018633481</v>
      </c>
      <c r="AR9" s="20">
        <f t="shared" si="8"/>
        <v>71.4285714285714</v>
      </c>
      <c r="AS9" s="20">
        <f t="shared" si="8"/>
        <v>81.08108108109</v>
      </c>
      <c r="AT9" s="20">
        <f t="shared" si="8"/>
        <v>100</v>
      </c>
      <c r="AU9" s="20">
        <f t="shared" si="8"/>
        <v>100</v>
      </c>
      <c r="AV9" s="20">
        <f t="shared" si="8"/>
        <v>100</v>
      </c>
      <c r="AW9" s="20">
        <f t="shared" si="8"/>
        <v>100</v>
      </c>
      <c r="AX9" s="20">
        <f t="shared" si="8"/>
        <v>90.9090909090909</v>
      </c>
      <c r="AY9" s="20">
        <f t="shared" si="8"/>
        <v>76.9230769230769</v>
      </c>
      <c r="AZ9" s="20">
        <f t="shared" si="8"/>
        <v>100</v>
      </c>
      <c r="BA9" s="20">
        <f t="shared" si="8"/>
        <v>81.0810810810766</v>
      </c>
      <c r="BB9" s="20">
        <f t="shared" si="8"/>
        <v>53.0035335689065</v>
      </c>
      <c r="BC9" s="20">
        <f t="shared" si="8"/>
        <v>14.3953934740884</v>
      </c>
      <c r="BD9" s="20">
        <f t="shared" si="8"/>
        <v>46.1538461538476</v>
      </c>
      <c r="BE9" s="20">
        <f t="shared" si="8"/>
        <v>100</v>
      </c>
      <c r="BF9" s="20">
        <f t="shared" si="8"/>
        <v>65.2173913043536</v>
      </c>
      <c r="BG9" s="20">
        <f t="shared" si="8"/>
        <v>100</v>
      </c>
      <c r="BH9" s="20">
        <f t="shared" si="8"/>
        <v>100</v>
      </c>
      <c r="BI9" s="20">
        <f t="shared" si="8"/>
        <v>100</v>
      </c>
      <c r="BJ9" s="20">
        <f t="shared" si="8"/>
        <v>73.1707317073207</v>
      </c>
      <c r="BK9" s="20">
        <f t="shared" si="8"/>
        <v>88.2352941176418</v>
      </c>
      <c r="BL9" s="20">
        <f t="shared" si="8"/>
        <v>28.2485875706215</v>
      </c>
      <c r="BM9" s="20">
        <f t="shared" si="8"/>
        <v>100</v>
      </c>
      <c r="BN9" s="20">
        <f t="shared" si="8"/>
        <v>100</v>
      </c>
      <c r="BO9" s="20">
        <f t="shared" ref="BO9:BU9" si="9">IF((BO4-BN3)&gt;=500,IF(ABS((BO3-BN3))&lt;500,"N/A",IF((BO3-BN3)&lt;0,-ABS((BO3-BN3)/(BO4-BN3))*100,MIN(100,ABS((BO3-BN3)/(BO4-BN3))*100))),IF((BO4-BN3)&lt;=-500,IF(ABS((BO3-BN3))&lt;500,"N/A",IF((BO3-BN3)&gt;0,-ABS((BO3-BN3)/(BO4-BN3))*100,MIN(100,ABS((BO3-BN3)/(BO4-BN3))*100))),IF(ABS((BO3-BN3))&lt;500,100,MIN(100,500/ABS((BO3-BN3))*100))))</f>
        <v>98.6842105263092</v>
      </c>
      <c r="BP9" s="20">
        <f t="shared" si="9"/>
        <v>25.9515570934251</v>
      </c>
      <c r="BQ9" s="20">
        <f t="shared" si="9"/>
        <v>48.8758553274682</v>
      </c>
      <c r="BR9" s="20">
        <f t="shared" si="9"/>
        <v>100</v>
      </c>
      <c r="BS9" s="20">
        <f t="shared" si="9"/>
        <v>100</v>
      </c>
      <c r="BT9" s="20">
        <f t="shared" si="9"/>
        <v>100</v>
      </c>
      <c r="BU9" s="20">
        <f t="shared" si="9"/>
        <v>62.5</v>
      </c>
      <c r="BV9" s="14">
        <f>IFERROR(AVERAGEIF(B9:BU9,"&lt;&gt;N/A"),"-")</f>
        <v>83.9819020196193</v>
      </c>
    </row>
  </sheetData>
  <mergeCells count="1">
    <mergeCell ref="A1:BV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LibreOffice/26.2.2.2$Linux_X86_64 LibreOffice_project/620$Build-2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HR Plate</vt:lpstr>
      <vt:lpstr>HRC</vt:lpstr>
      <vt:lpstr>Rebar BF Mumbai</vt:lpstr>
      <vt:lpstr>Rebar IF Mumbai</vt:lpstr>
      <vt:lpstr>Rebar IF Raipur</vt:lpstr>
      <vt:lpstr>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Digvi</cp:lastModifiedBy>
  <cp:revision>0</cp:revision>
  <dcterms:created xsi:type="dcterms:W3CDTF">2026-05-29T10:22:00Z</dcterms:created>
  <dcterms:modified xsi:type="dcterms:W3CDTF">2026-05-29T11:11:58Z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69B6EB2E03894E8B9014D616DEEF3C93_12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