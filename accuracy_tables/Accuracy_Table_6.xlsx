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inear" sheetId="1" state="visible" r:id="rId1"/>
    <sheet name="DLinear" sheetId="2" state="visible" r:id="rId2"/>
    <sheet name="NHITS" sheetId="3" state="visible" r:id="rId3"/>
    <sheet name="NBEATS" sheetId="4" state="visible" r:id="rId4"/>
    <sheet name="NBEATSx" sheetId="5" state="visible" r:id="rId5"/>
    <sheet name="TiDE" sheetId="6" state="visible" r:id="rId6"/>
    <sheet name="TFT" sheetId="7" state="visible" r:id="rId7"/>
    <sheet name="PatchTST" sheetId="8" state="visible" r:id="rId8"/>
    <sheet name="TimesNet" sheetId="9" state="visible" r:id="rId9"/>
    <sheet name="BiTCN" sheetId="10" state="visible" r:id="rId10"/>
    <sheet name="LSTM" sheetId="11" state="visible" r:id="rId11"/>
    <sheet name="MLP" sheetId="12" state="visible" r:id="rId12"/>
    <sheet name="TimeMixer" sheetId="13" state="visible" r:id="rId13"/>
    <sheet name="TimeXer" sheetId="14" state="visible" r:id="rId14"/>
    <sheet name="TSMixerx" sheetId="15" state="visible" r:id="rId15"/>
    <sheet name="Ensemble_Median" sheetId="16" state="visible" r:id="rId16"/>
    <sheet name="Ensemble_WgtMea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</row>
    <row r="3">
      <c r="D3" s="4">
        <f>AVERAGE(D4:D85)</f>
        <v/>
      </c>
      <c r="E3" s="4">
        <f>AVERAGE(E4:E85)</f>
        <v/>
      </c>
      <c r="F3" s="4">
        <f>AVERAGE(F4:F85)</f>
        <v/>
      </c>
      <c r="G3" s="4">
        <f>AVERAGE(G4:G85)</f>
        <v/>
      </c>
      <c r="K3" s="4">
        <f>AVERAGE(K4:K85)</f>
        <v/>
      </c>
      <c r="L3" s="4">
        <f>AVERAGE(L4:L85)</f>
        <v/>
      </c>
      <c r="M3" s="4">
        <f>AVERAGE(M4:M85)</f>
        <v/>
      </c>
      <c r="N3" s="4">
        <f>AVERAGE(N4:N85)</f>
        <v/>
      </c>
      <c r="R3" s="4">
        <f>AVERAGE(R4:R85)</f>
        <v/>
      </c>
      <c r="S3" s="4">
        <f>AVERAGE(S4:S85)</f>
        <v/>
      </c>
      <c r="T3" s="4">
        <f>AVERAGE(T4:T85)</f>
        <v/>
      </c>
      <c r="U3" s="4">
        <f>AVERAGE(U4:U85)</f>
        <v/>
      </c>
      <c r="Y3" s="4">
        <f>AVERAGE(Y4:Y85)</f>
        <v/>
      </c>
      <c r="Z3" s="4">
        <f>AVERAGE(Z4:Z85)</f>
        <v/>
      </c>
      <c r="AA3" s="4">
        <f>AVERAGE(AA4:AA85)</f>
        <v/>
      </c>
      <c r="AB3" s="4">
        <f>AVERAGE(AB4:AB85)</f>
        <v/>
      </c>
      <c r="AF3" s="4">
        <f>AVERAGE(AF4:AF85)</f>
        <v/>
      </c>
      <c r="AG3" s="4">
        <f>AVERAGE(AG4:AG85)</f>
        <v/>
      </c>
      <c r="AH3" s="4">
        <f>AVERAGE(AH4:AH85)</f>
        <v/>
      </c>
      <c r="AI3" s="4">
        <f>AVERAGE(AI4:AI85)</f>
        <v/>
      </c>
      <c r="AM3" s="4">
        <f>AVERAGE(AM4:AM85)</f>
        <v/>
      </c>
      <c r="AN3" s="4">
        <f>AVERAGE(AN4:AN85)</f>
        <v/>
      </c>
      <c r="AO3" s="4">
        <f>AVERAGE(AO4:AO85)</f>
        <v/>
      </c>
      <c r="AP3" s="4">
        <f>AVERAGE(AP4:AP85)</f>
        <v/>
      </c>
    </row>
    <row r="4">
      <c r="A4" s="5" t="n">
        <v>45564</v>
      </c>
      <c r="B4" s="6" t="n">
        <v>49000</v>
      </c>
      <c r="C4" s="7" t="n">
        <v>50446.156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46451.516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51413.55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45000.71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42296.344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47690.344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</row>
    <row r="5">
      <c r="A5" s="5" t="n">
        <v>45571</v>
      </c>
      <c r="B5" s="6" t="n">
        <v>49000</v>
      </c>
      <c r="C5" s="7" t="n">
        <v>48727.504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46978.645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51597.832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46260.625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44907.55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49848.06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</row>
    <row r="6">
      <c r="A6" s="5" t="n">
        <v>45578</v>
      </c>
      <c r="B6" s="6" t="n">
        <v>49200</v>
      </c>
      <c r="C6" s="7" t="n">
        <v>48876.656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47925.5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53304.098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48581.332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46117.63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51253.207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</row>
    <row r="7">
      <c r="A7" s="5" t="n">
        <v>45585</v>
      </c>
      <c r="B7" s="6" t="n">
        <v>49200</v>
      </c>
      <c r="C7" s="7" t="n">
        <v>49595.062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48360.56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53483.023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49606.695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44866.785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50459.97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</row>
    <row r="8">
      <c r="A8" s="5" t="n">
        <v>45592</v>
      </c>
      <c r="B8" s="6" t="n">
        <v>49200</v>
      </c>
      <c r="C8" s="7" t="n">
        <v>49181.77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48280.703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53692.67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48445.883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43807.047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50095.59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</row>
    <row r="9">
      <c r="A9" s="5" t="n">
        <v>45599</v>
      </c>
      <c r="B9" s="6" t="n">
        <v>49200</v>
      </c>
      <c r="C9" s="7" t="n">
        <v>49301.53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47703.57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52707.234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46996.086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41363.875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48094.53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</row>
    <row r="10">
      <c r="A10" s="5" t="n">
        <v>45606</v>
      </c>
      <c r="B10" s="6" t="n">
        <v>49000</v>
      </c>
      <c r="C10" s="7" t="n">
        <v>49167.355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47992.605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53120.38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47006.344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41488.566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47701.12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</row>
    <row r="11">
      <c r="A11" s="5" t="n">
        <v>45613</v>
      </c>
      <c r="B11" s="6" t="n">
        <v>49000</v>
      </c>
      <c r="C11" s="7" t="n">
        <v>49150.656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48184.742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52417.12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47464.863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41967.484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47798.586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</row>
    <row r="12">
      <c r="A12" s="5" t="n">
        <v>45620</v>
      </c>
      <c r="B12" s="6" t="n">
        <v>49000</v>
      </c>
      <c r="C12" s="7" t="n">
        <v>49082.37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47828.63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51296.098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47874.117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41414.242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47443.21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</row>
    <row r="13">
      <c r="A13" s="5" t="n">
        <v>45627</v>
      </c>
      <c r="B13" s="6" t="n">
        <v>48500</v>
      </c>
      <c r="C13" s="7" t="n">
        <v>48821.74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47829.19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51128.387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47546.2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40642.594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46861.754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</row>
    <row r="14">
      <c r="A14" s="5" t="n">
        <v>45634</v>
      </c>
      <c r="B14" s="6" t="n">
        <v>48200</v>
      </c>
      <c r="C14" s="7" t="n">
        <v>48436.887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47783.78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50897.82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47271.395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39942.688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46670.17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</row>
    <row r="15">
      <c r="A15" s="5" t="n">
        <v>45641</v>
      </c>
      <c r="B15" s="6" t="n">
        <v>48200</v>
      </c>
      <c r="C15" s="7" t="n">
        <v>48018.83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47146.12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50479.45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47251.66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41132.582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46375.977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</row>
    <row r="16">
      <c r="A16" s="5" t="n">
        <v>45648</v>
      </c>
      <c r="B16" s="6" t="n">
        <v>48200</v>
      </c>
      <c r="C16" s="7" t="n">
        <v>48242.89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46972.496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50949.113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45902.836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40836.547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46090.734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</row>
    <row r="17">
      <c r="A17" s="5" t="n">
        <v>45655</v>
      </c>
      <c r="B17" s="6" t="n">
        <v>48100</v>
      </c>
      <c r="C17" s="7" t="n">
        <v>48210.527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46172.855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51334.28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45756.25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40251.344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46587.613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</row>
    <row r="18">
      <c r="A18" s="5" t="n">
        <v>45662</v>
      </c>
      <c r="B18" s="6" t="n">
        <v>48100</v>
      </c>
      <c r="C18" s="7" t="n">
        <v>48067.6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46574.48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51624.574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46875.746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41383.324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46150.25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</row>
    <row r="19">
      <c r="A19" s="5" t="n">
        <v>45669</v>
      </c>
      <c r="B19" s="6" t="n">
        <v>48200</v>
      </c>
      <c r="C19" s="7" t="n">
        <v>47857.08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46581.285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51848.676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47095.387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41526.156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47007.16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</row>
    <row r="20">
      <c r="A20" s="5" t="n">
        <v>45676</v>
      </c>
      <c r="B20" s="6" t="n">
        <v>48500</v>
      </c>
      <c r="C20" s="7" t="n">
        <v>48045.332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46366.17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51636.125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47785.023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42775.54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46692.62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</row>
    <row r="21">
      <c r="A21" s="5" t="n">
        <v>45683</v>
      </c>
      <c r="B21" s="6" t="n">
        <v>48400</v>
      </c>
      <c r="C21" s="7" t="n">
        <v>48461.516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46594.977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52166.266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47775.45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42267.094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47050.156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</row>
    <row r="22">
      <c r="A22" s="5" t="n">
        <v>45690</v>
      </c>
      <c r="B22" s="6" t="n">
        <v>48600</v>
      </c>
      <c r="C22" s="7" t="n">
        <v>48469.88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47269.75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52759.805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47668.016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42201.605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46662.734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</row>
    <row r="23">
      <c r="A23" s="5" t="n">
        <v>45697</v>
      </c>
      <c r="B23" s="6" t="n">
        <v>49000</v>
      </c>
      <c r="C23" s="7" t="n">
        <v>48712.98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48558.035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53427.19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47722.723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42431.613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48223.242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</row>
    <row r="24">
      <c r="A24" s="5" t="n">
        <v>45704</v>
      </c>
      <c r="B24" s="6" t="n">
        <v>49000</v>
      </c>
      <c r="C24" s="7" t="n">
        <v>49102.066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48591.824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53661.145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47943.15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43715.36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47770.383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</row>
    <row r="25">
      <c r="A25" s="5" t="n">
        <v>45711</v>
      </c>
      <c r="B25" s="6" t="n">
        <v>49000</v>
      </c>
      <c r="C25" s="7" t="n">
        <v>49171.574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48362.203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53489.684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48064.926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43812.293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48390.445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</row>
    <row r="26">
      <c r="A26" s="5" t="n">
        <v>45718</v>
      </c>
      <c r="B26" s="6" t="n">
        <v>49000</v>
      </c>
      <c r="C26" s="7" t="n">
        <v>49128.125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48604.137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54648.758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49192.914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44522.664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48073.992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</row>
    <row r="27">
      <c r="A27" s="5" t="n">
        <v>45725</v>
      </c>
      <c r="B27" s="6" t="n">
        <v>49000</v>
      </c>
      <c r="C27" s="7" t="n">
        <v>49462.047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48060.812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55867.18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49641.773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43844.906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48263.426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</row>
    <row r="28">
      <c r="A28" s="5" t="n">
        <v>45732</v>
      </c>
      <c r="B28" s="6" t="n">
        <v>49500</v>
      </c>
      <c r="C28" s="7" t="n">
        <v>49236.34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49094.664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54725.336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49639.637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43324.33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48214.695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</row>
    <row r="29">
      <c r="A29" s="5" t="n">
        <v>45739</v>
      </c>
      <c r="B29" s="6" t="n">
        <v>49600</v>
      </c>
      <c r="C29" s="7" t="n">
        <v>49964.477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49645.816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55435.547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49583.06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43546.7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47759.402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</row>
    <row r="30">
      <c r="A30" s="5" t="n">
        <v>45746</v>
      </c>
      <c r="B30" s="6" t="n">
        <v>51500</v>
      </c>
      <c r="C30" s="7" t="n">
        <v>49911.363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50795.89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56597.613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49323.16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42989.805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49347.35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</row>
    <row r="31">
      <c r="A31" s="5" t="n">
        <v>45753</v>
      </c>
      <c r="B31" s="6" t="n">
        <v>52000</v>
      </c>
      <c r="C31" s="7" t="n">
        <v>52147.402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52492.02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57677.2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48912.418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44303.76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49188.797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</row>
    <row r="32">
      <c r="A32" s="5" t="n">
        <v>45760</v>
      </c>
      <c r="B32" s="6" t="n">
        <v>51500</v>
      </c>
      <c r="C32" s="7" t="n">
        <v>52367.734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52358.375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57379.555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48654.5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44887.637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50124.094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</row>
    <row r="33">
      <c r="A33" s="5" t="n">
        <v>45767</v>
      </c>
      <c r="B33" s="6" t="n">
        <v>51500</v>
      </c>
      <c r="C33" s="7" t="n">
        <v>51116.184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51604.31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56969.734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49046.35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45953.55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49927.594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</row>
    <row r="34">
      <c r="A34" s="5" t="n">
        <v>45774</v>
      </c>
      <c r="B34" s="6" t="n">
        <v>52500</v>
      </c>
      <c r="C34" s="7" t="n">
        <v>51235.055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51192.29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56751.74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49018.28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45774.13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49578.297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</row>
    <row r="35">
      <c r="A35" s="5" t="n">
        <v>45781</v>
      </c>
      <c r="B35" s="6" t="n">
        <v>53000</v>
      </c>
      <c r="C35" s="7" t="n">
        <v>52381.805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52535.348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56788.215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49109.457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44993.59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49182.29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</row>
    <row r="36">
      <c r="A36" s="5" t="n">
        <v>45788</v>
      </c>
      <c r="B36" s="6" t="n">
        <v>53000</v>
      </c>
      <c r="C36" s="7" t="n">
        <v>52983.906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52889.062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56499.363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49435.047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44975.63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48656.15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</row>
    <row r="37">
      <c r="A37" s="5" t="n">
        <v>45795</v>
      </c>
      <c r="B37" s="6" t="n">
        <v>53300</v>
      </c>
      <c r="C37" s="7" t="n">
        <v>52702.43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52232.016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56261.953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49010.527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44389.65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48449.527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</row>
    <row r="38">
      <c r="A38" s="5" t="n">
        <v>45802</v>
      </c>
      <c r="B38" s="6" t="n">
        <v>52800</v>
      </c>
      <c r="C38" s="7" t="n">
        <v>53197.797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51603.812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55755.703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47941.434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43754.7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48602.555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</row>
    <row r="39">
      <c r="A39" s="5" t="n">
        <v>45809</v>
      </c>
      <c r="B39" s="6" t="n">
        <v>52000</v>
      </c>
      <c r="C39" s="7" t="n">
        <v>52773.72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52033.42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55072.15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47742.348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43643.54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47931.047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</row>
    <row r="40">
      <c r="A40" s="5" t="n">
        <v>45816</v>
      </c>
      <c r="B40" s="6" t="n">
        <v>52000</v>
      </c>
      <c r="C40" s="7" t="n">
        <v>53584.62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51223.996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53514.86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47618.496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43411.06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48238.062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</row>
    <row r="41">
      <c r="A41" s="5" t="n">
        <v>45823</v>
      </c>
      <c r="B41" s="6" t="n">
        <v>52000</v>
      </c>
      <c r="C41" s="7" t="n">
        <v>53684.535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51310.227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52288.168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46804.69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42864.43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48075.355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</row>
    <row r="42">
      <c r="A42" s="5" t="n">
        <v>45830</v>
      </c>
      <c r="B42" s="6" t="n">
        <v>52000</v>
      </c>
      <c r="C42" s="7" t="n">
        <v>53855.8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50988.74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51171.293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46082.902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41837.137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46814.508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</row>
    <row r="43">
      <c r="A43" s="5" t="n">
        <v>45837</v>
      </c>
      <c r="B43" s="6" t="n">
        <v>51900</v>
      </c>
      <c r="C43" s="7" t="n">
        <v>53813.57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50450.758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49640.305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45142.156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41401.777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46340.13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</row>
    <row r="44">
      <c r="A44" s="5" t="n">
        <v>45844</v>
      </c>
      <c r="B44" s="6" t="n">
        <v>51600</v>
      </c>
      <c r="C44" s="7" t="n">
        <v>53574.504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51075.09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49111.996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44159.184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40871.83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46029.465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</row>
    <row r="45">
      <c r="A45" s="5" t="n">
        <v>45851</v>
      </c>
      <c r="B45" s="6" t="n">
        <v>51000</v>
      </c>
      <c r="C45" s="7" t="n">
        <v>53351.977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49970.94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48630.72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43749.605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40499.246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45919.29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</row>
    <row r="46">
      <c r="A46" s="5" t="n">
        <v>45858</v>
      </c>
      <c r="B46" s="6" t="n">
        <v>50500</v>
      </c>
      <c r="C46" s="7" t="n">
        <v>52496.63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49441.098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48040.555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43654.797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39391.164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46330.64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</row>
    <row r="47">
      <c r="A47" s="5" t="n">
        <v>45865</v>
      </c>
      <c r="B47" s="6" t="n">
        <v>50000</v>
      </c>
      <c r="C47" s="7" t="n">
        <v>51949.48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48816.266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47050.18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43678.98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39539.33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45618.637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</row>
    <row r="48">
      <c r="A48" s="5" t="n">
        <v>45872</v>
      </c>
      <c r="B48" s="6" t="n">
        <v>50000</v>
      </c>
      <c r="C48" s="7" t="n">
        <v>50979.594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48421.96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47974.25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43474.723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38901.473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46545.277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</row>
    <row r="49">
      <c r="A49" s="5" t="n">
        <v>45879</v>
      </c>
      <c r="B49" s="6" t="n">
        <v>50300</v>
      </c>
      <c r="C49" s="7" t="n">
        <v>50893.656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49387.355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49272.445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43487.605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40241.402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46913.55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</row>
    <row r="50">
      <c r="A50" s="5" t="n">
        <v>45886</v>
      </c>
      <c r="B50" s="6" t="n">
        <v>50500</v>
      </c>
      <c r="C50" s="7" t="n">
        <v>51562.047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50571.95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48479.082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45038.53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40366.742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46167.973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</row>
    <row r="51">
      <c r="A51" s="5" t="n">
        <v>45893</v>
      </c>
      <c r="B51" s="6" t="n">
        <v>50500</v>
      </c>
      <c r="C51" s="7" t="n">
        <v>51455.96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49826.215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47918.973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46274.78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39629.93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46099.67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</row>
    <row r="52">
      <c r="A52" s="5" t="n">
        <v>45900</v>
      </c>
      <c r="B52" s="6" t="n">
        <v>50700</v>
      </c>
      <c r="C52" s="7" t="n">
        <v>50691.49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49591.793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47179.793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45884.535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39772.027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45701.55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</row>
    <row r="53">
      <c r="A53" s="5" t="n">
        <v>45907</v>
      </c>
      <c r="B53" s="6" t="n">
        <v>50800</v>
      </c>
      <c r="C53" s="7" t="n">
        <v>50735.84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49279.684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47270.96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45435.04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39940.3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45211.113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</row>
    <row r="54">
      <c r="A54" s="5" t="n">
        <v>45914</v>
      </c>
      <c r="B54" s="6" t="n">
        <v>50500</v>
      </c>
      <c r="C54" s="7" t="n">
        <v>50901.152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49204.492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47137.305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44512.895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39513.34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44872.305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</row>
    <row r="55">
      <c r="A55" s="5" t="n">
        <v>45921</v>
      </c>
      <c r="B55" s="6" t="n">
        <v>50000</v>
      </c>
      <c r="C55" s="7" t="n">
        <v>50372.074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49039.434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46637.31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44648.77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39300.836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45405.992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</row>
    <row r="56">
      <c r="A56" s="5" t="n">
        <v>45928</v>
      </c>
      <c r="B56" s="6" t="n">
        <v>50000</v>
      </c>
      <c r="C56" s="7" t="n">
        <v>49911.54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48857.223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46451.36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44182.113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39938.855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44934.258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</row>
    <row r="57">
      <c r="A57" s="5" t="n">
        <v>45935</v>
      </c>
      <c r="B57" s="6" t="n">
        <v>50000</v>
      </c>
      <c r="C57" s="7" t="n">
        <v>50007.766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49111.656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47283.445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44195.047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39241.336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44717.957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</row>
    <row r="58">
      <c r="A58" s="5" t="n">
        <v>45942</v>
      </c>
      <c r="B58" s="6" t="n">
        <v>49800</v>
      </c>
      <c r="C58" s="7" t="n">
        <v>49769.074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48464.875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47241.99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43407.402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39425.605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44411.395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</row>
    <row r="59">
      <c r="A59" s="5" t="n">
        <v>45949</v>
      </c>
      <c r="B59" s="6" t="n">
        <v>49000</v>
      </c>
      <c r="C59" s="7" t="n">
        <v>49760.42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48235.23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46882.832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42558.91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39145.73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43831.66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</row>
    <row r="60">
      <c r="A60" s="5" t="n">
        <v>45956</v>
      </c>
      <c r="B60" s="6" t="n">
        <v>49000</v>
      </c>
      <c r="C60" s="7" t="n">
        <v>48877.375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47532.316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46768.09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42269.19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38106.652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43314.734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</row>
    <row r="61">
      <c r="A61" s="5" t="n">
        <v>45963</v>
      </c>
      <c r="B61" s="6" t="n">
        <v>49000</v>
      </c>
      <c r="C61" s="7" t="n">
        <v>49009.38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47748.645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47479.71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42270.457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37808.79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42299.36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</row>
    <row r="62">
      <c r="A62" s="5" t="n">
        <v>45970</v>
      </c>
      <c r="B62" s="6" t="n">
        <v>49600</v>
      </c>
      <c r="C62" s="7" t="n">
        <v>48896.83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46849.785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48249.195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41181.88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37073.535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42882.375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</row>
    <row r="63">
      <c r="A63" s="5" t="n">
        <v>45977</v>
      </c>
      <c r="B63" s="6" t="n">
        <v>49600</v>
      </c>
      <c r="C63" s="7" t="n">
        <v>49784.156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47723.254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47171.47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41717.14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37981.4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42683.043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</row>
    <row r="64">
      <c r="A64" s="5" t="n">
        <v>45984</v>
      </c>
      <c r="B64" s="6" t="n">
        <v>49000</v>
      </c>
      <c r="C64" s="7" t="n">
        <v>49569.87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47028.56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46078.414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43351.555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37097.207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42966.92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</row>
    <row r="65">
      <c r="A65" s="5" t="n">
        <v>45991</v>
      </c>
      <c r="B65" s="6" t="n">
        <v>48600</v>
      </c>
      <c r="C65" s="7" t="n">
        <v>48605.586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46113.39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45947.61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42529.74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37150.54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43336.71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</row>
    <row r="66">
      <c r="A66" s="5" t="n">
        <v>45998</v>
      </c>
      <c r="B66" s="6" t="n">
        <v>46700</v>
      </c>
      <c r="C66" s="7" t="n">
        <v>48454.125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46134.58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47115.875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42748.74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37920.582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44011.316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</row>
    <row r="67">
      <c r="A67" s="5" t="n">
        <v>46005</v>
      </c>
      <c r="B67" s="6" t="n">
        <v>46800</v>
      </c>
      <c r="C67" s="7" t="n">
        <v>46042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45550.51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47884.965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42776.35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38325.957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44959.168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</row>
    <row r="68">
      <c r="A68" s="5" t="n">
        <v>46012</v>
      </c>
      <c r="B68" s="6" t="n">
        <v>46800</v>
      </c>
      <c r="C68" s="7" t="n">
        <v>46438.04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45916.098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47658.98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44148.12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39450.316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44035.16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</row>
    <row r="69">
      <c r="A69" s="5" t="n">
        <v>46019</v>
      </c>
      <c r="B69" s="6" t="n">
        <v>48000</v>
      </c>
      <c r="C69" s="7" t="n">
        <v>46511.1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47189.793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49791.707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44891.875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38832.574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45012.95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</row>
    <row r="70">
      <c r="A70" s="5" t="n">
        <v>46026</v>
      </c>
      <c r="B70" s="6" t="n">
        <v>50400</v>
      </c>
      <c r="C70" s="7" t="n">
        <v>48286.125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49527.12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53704.223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45214.34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39773.05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45961.453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</row>
    <row r="71">
      <c r="A71" s="5" t="n">
        <v>46033</v>
      </c>
      <c r="B71" s="6" t="n">
        <v>51400</v>
      </c>
      <c r="C71" s="7" t="n">
        <v>51294.766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52043.613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53700.418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50022.83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45444.535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50303.023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</row>
    <row r="72">
      <c r="A72" s="5" t="n">
        <v>46040</v>
      </c>
      <c r="B72" s="6" t="n">
        <v>52000</v>
      </c>
      <c r="C72" s="7" t="n">
        <v>52280.547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50582.277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54717.094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49018.69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43980.28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47868.42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</row>
    <row r="73">
      <c r="A73" s="5" t="n">
        <v>46047</v>
      </c>
      <c r="B73" s="6" t="n">
        <v>53000</v>
      </c>
      <c r="C73" s="7" t="n">
        <v>52627.8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52375.727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56308.348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49125.62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43293.88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48336.496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</row>
    <row r="74">
      <c r="A74" s="5" t="n">
        <v>46054</v>
      </c>
      <c r="B74" s="6" t="n">
        <v>53400</v>
      </c>
      <c r="C74" s="7" t="n">
        <v>53528.465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52880.836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57840.957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50406.562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44518.016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49502.47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</row>
    <row r="75">
      <c r="A75" s="5" t="n">
        <v>46061</v>
      </c>
      <c r="B75" s="6" t="n">
        <v>55100</v>
      </c>
      <c r="C75" s="7" t="n">
        <v>53769.8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53601.52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59136.53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50521.883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43992.203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48861.477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</row>
    <row r="76">
      <c r="A76" s="5" t="n">
        <v>46068</v>
      </c>
      <c r="B76" s="6" t="n">
        <v>55200</v>
      </c>
      <c r="C76" s="7" t="n">
        <v>51677.617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COUNTIF(G76:G85,1)&amp;"/"&amp;COUNT(G76:G85)</f>
        <v/>
      </c>
      <c r="I76" s="6" t="n">
        <v>53650</v>
      </c>
      <c r="J76" s="7" t="n">
        <v>53943.78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COUNTIF(N76:N85,1)&amp;"/"&amp;COUNT(N76:N85)</f>
        <v/>
      </c>
      <c r="P76" s="6" t="n">
        <v>58900</v>
      </c>
      <c r="Q76" s="7" t="n">
        <v>59031.633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COUNTIF(U76:U85,1)&amp;"/"&amp;COUNT(U76:U85)</f>
        <v/>
      </c>
      <c r="W76" s="6" t="n">
        <v>50000</v>
      </c>
      <c r="X76" s="7" t="n">
        <v>49971.844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COUNTIF(AB76:AB85,1)&amp;"/"&amp;COUNT(AB76:AB85)</f>
        <v/>
      </c>
      <c r="AD76" s="6" t="n">
        <v>45266.67</v>
      </c>
      <c r="AE76" s="7" t="n">
        <v>44400.13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COUNTIF(AI76:AI85,1)&amp;"/"&amp;COUNT(AI76:AI85)</f>
        <v/>
      </c>
      <c r="AK76" s="6" t="n">
        <v>49800</v>
      </c>
      <c r="AL76" s="7" t="n">
        <v>49236.152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COUNTIF(AP76:AP85,1)&amp;"/"&amp;COUNT(AP76:AP85)</f>
        <v/>
      </c>
    </row>
    <row r="77">
      <c r="A77" s="5" t="n">
        <v>46075</v>
      </c>
      <c r="B77" s="6" t="n">
        <v>54600</v>
      </c>
      <c r="C77" s="7" t="n">
        <v>51690.617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53436.56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59343.184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49455.746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45162.324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49127.027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</row>
    <row r="78">
      <c r="A78" s="5" t="n">
        <v>46082</v>
      </c>
      <c r="B78" s="6" t="n">
        <v>54000</v>
      </c>
      <c r="C78" s="7" t="n">
        <v>51575.562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54109.918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59424.414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49285.984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43975.03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48810.973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</row>
    <row r="79">
      <c r="A79" s="5" t="n">
        <v>46089</v>
      </c>
      <c r="B79" s="6" t="n">
        <v>54400</v>
      </c>
      <c r="C79" s="7" t="n">
        <v>52325.074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54398.82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59132.305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49234.586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43557.047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48097.883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</row>
    <row r="80">
      <c r="A80" s="5" t="n">
        <v>46096</v>
      </c>
      <c r="B80" s="6" t="n">
        <v>55600</v>
      </c>
      <c r="C80" s="7" t="n">
        <v>52815.203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55192.18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59902.418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51205.57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46126.742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50508.473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</row>
    <row r="81">
      <c r="A81" s="5" t="n">
        <v>46103</v>
      </c>
      <c r="B81" s="6" t="n">
        <v>56900</v>
      </c>
      <c r="C81" s="7" t="n">
        <v>53427.758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55956.668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59913.65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51753.07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46267.875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50120.77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</row>
    <row r="82">
      <c r="A82" s="5" t="n">
        <v>46110</v>
      </c>
      <c r="B82" s="6" t="n">
        <v>58200</v>
      </c>
      <c r="C82" s="7" t="n">
        <v>54344.41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57084.97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59565.96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51050.1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45977.48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49633.47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</row>
    <row r="83">
      <c r="A83" s="5" t="n">
        <v>46117</v>
      </c>
      <c r="B83" s="6" t="n">
        <v>59100</v>
      </c>
      <c r="C83" s="7" t="n">
        <v>54457.508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57909.805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59598.902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50601.977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44845.637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49149.71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</row>
    <row r="84">
      <c r="A84" s="5" t="n">
        <v>46124</v>
      </c>
      <c r="B84" s="6" t="n">
        <v>59500</v>
      </c>
      <c r="C84" s="7" t="n">
        <v>55032.69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60820.08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59935.277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53260.645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48468.418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51677.938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</row>
    <row r="85">
      <c r="A85" s="5" t="n">
        <v>46131</v>
      </c>
      <c r="B85" s="6" t="n">
        <v>59500</v>
      </c>
      <c r="C85" s="7" t="n">
        <v>55561.004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59536.875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60316.652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54940.36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48410.727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53323.035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</row>
  </sheetData>
  <mergeCells count="49">
    <mergeCell ref="AC40:AC51"/>
    <mergeCell ref="I1:O1"/>
    <mergeCell ref="O52:O63"/>
    <mergeCell ref="H16:H27"/>
    <mergeCell ref="AJ64:AJ75"/>
    <mergeCell ref="V16:V27"/>
    <mergeCell ref="H28:H39"/>
    <mergeCell ref="AC52:AC63"/>
    <mergeCell ref="AJ76:AJ85"/>
    <mergeCell ref="H76:H85"/>
    <mergeCell ref="AQ28:AQ39"/>
    <mergeCell ref="AQ40:AQ51"/>
    <mergeCell ref="AJ4:AJ15"/>
    <mergeCell ref="AJ40:AJ51"/>
    <mergeCell ref="V52:V63"/>
    <mergeCell ref="H4:H15"/>
    <mergeCell ref="AJ16:AJ27"/>
    <mergeCell ref="AJ52:AJ63"/>
    <mergeCell ref="AC16:AC27"/>
    <mergeCell ref="V64:V75"/>
    <mergeCell ref="O28:O39"/>
    <mergeCell ref="V76:V85"/>
    <mergeCell ref="AQ76:AQ85"/>
    <mergeCell ref="V4:V15"/>
    <mergeCell ref="P1:V1"/>
    <mergeCell ref="AC28:AC39"/>
    <mergeCell ref="A1:A3"/>
    <mergeCell ref="AQ16:AQ27"/>
    <mergeCell ref="H64:H75"/>
    <mergeCell ref="AC76:AC85"/>
    <mergeCell ref="V28:V39"/>
    <mergeCell ref="AD1:AJ1"/>
    <mergeCell ref="H40:H51"/>
    <mergeCell ref="W1:AC1"/>
    <mergeCell ref="V40:V51"/>
    <mergeCell ref="O4:O15"/>
    <mergeCell ref="H52:H63"/>
    <mergeCell ref="AQ52:AQ63"/>
    <mergeCell ref="B1:H1"/>
    <mergeCell ref="AC64:AC75"/>
    <mergeCell ref="AC4:AC15"/>
    <mergeCell ref="O16:O27"/>
    <mergeCell ref="AQ4:AQ15"/>
    <mergeCell ref="AQ64:AQ75"/>
    <mergeCell ref="O64:O75"/>
    <mergeCell ref="AJ28:AJ39"/>
    <mergeCell ref="O40:O51"/>
    <mergeCell ref="AK1:AQ1"/>
    <mergeCell ref="O76:O8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8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</row>
    <row r="3">
      <c r="D3" s="4">
        <f>AVERAGE(D4:D85)</f>
        <v/>
      </c>
      <c r="E3" s="4">
        <f>AVERAGE(E4:E85)</f>
        <v/>
      </c>
      <c r="F3" s="4">
        <f>AVERAGE(F4:F85)</f>
        <v/>
      </c>
      <c r="G3" s="4">
        <f>AVERAGE(G4:G85)</f>
        <v/>
      </c>
      <c r="K3" s="4">
        <f>AVERAGE(K4:K85)</f>
        <v/>
      </c>
      <c r="L3" s="4">
        <f>AVERAGE(L4:L85)</f>
        <v/>
      </c>
      <c r="M3" s="4">
        <f>AVERAGE(M4:M85)</f>
        <v/>
      </c>
      <c r="N3" s="4">
        <f>AVERAGE(N4:N85)</f>
        <v/>
      </c>
      <c r="R3" s="4">
        <f>AVERAGE(R4:R85)</f>
        <v/>
      </c>
      <c r="S3" s="4">
        <f>AVERAGE(S4:S85)</f>
        <v/>
      </c>
      <c r="T3" s="4">
        <f>AVERAGE(T4:T85)</f>
        <v/>
      </c>
      <c r="U3" s="4">
        <f>AVERAGE(U4:U85)</f>
        <v/>
      </c>
      <c r="Y3" s="4">
        <f>AVERAGE(Y4:Y85)</f>
        <v/>
      </c>
      <c r="Z3" s="4">
        <f>AVERAGE(Z4:Z85)</f>
        <v/>
      </c>
      <c r="AA3" s="4">
        <f>AVERAGE(AA4:AA85)</f>
        <v/>
      </c>
      <c r="AB3" s="4">
        <f>AVERAGE(AB4:AB85)</f>
        <v/>
      </c>
      <c r="AF3" s="4">
        <f>AVERAGE(AF4:AF85)</f>
        <v/>
      </c>
      <c r="AG3" s="4">
        <f>AVERAGE(AG4:AG85)</f>
        <v/>
      </c>
      <c r="AH3" s="4">
        <f>AVERAGE(AH4:AH85)</f>
        <v/>
      </c>
      <c r="AI3" s="4">
        <f>AVERAGE(AI4:AI85)</f>
        <v/>
      </c>
      <c r="AM3" s="4">
        <f>AVERAGE(AM4:AM85)</f>
        <v/>
      </c>
      <c r="AN3" s="4">
        <f>AVERAGE(AN4:AN85)</f>
        <v/>
      </c>
      <c r="AO3" s="4">
        <f>AVERAGE(AO4:AO85)</f>
        <v/>
      </c>
      <c r="AP3" s="4">
        <f>AVERAGE(AP4:AP85)</f>
        <v/>
      </c>
    </row>
    <row r="4">
      <c r="A4" s="5" t="n">
        <v>45564</v>
      </c>
      <c r="B4" s="6" t="n">
        <v>49000</v>
      </c>
      <c r="C4" s="7" t="n">
        <v>51942.2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46917.67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55310.863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49822.625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45586.062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51110.938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</row>
    <row r="5">
      <c r="A5" s="5" t="n">
        <v>45571</v>
      </c>
      <c r="B5" s="6" t="n">
        <v>49000</v>
      </c>
      <c r="C5" s="7" t="n">
        <v>52043.105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47079.164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55300.016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49909.906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45338.96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50980.027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</row>
    <row r="6">
      <c r="A6" s="5" t="n">
        <v>45578</v>
      </c>
      <c r="B6" s="6" t="n">
        <v>49200</v>
      </c>
      <c r="C6" s="7" t="n">
        <v>51949.453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47552.223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55028.523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49310.203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44206.91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49910.2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</row>
    <row r="7">
      <c r="A7" s="5" t="n">
        <v>45585</v>
      </c>
      <c r="B7" s="6" t="n">
        <v>49200</v>
      </c>
      <c r="C7" s="7" t="n">
        <v>51924.926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48510.848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54216.246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48791.44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43367.766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49096.44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</row>
    <row r="8">
      <c r="A8" s="5" t="n">
        <v>45592</v>
      </c>
      <c r="B8" s="6" t="n">
        <v>49200</v>
      </c>
      <c r="C8" s="7" t="n">
        <v>51683.77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48298.727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54076.22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48694.254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44002.43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49799.277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</row>
    <row r="9">
      <c r="A9" s="5" t="n">
        <v>45599</v>
      </c>
      <c r="B9" s="6" t="n">
        <v>49200</v>
      </c>
      <c r="C9" s="7" t="n">
        <v>51349.04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47947.758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53489.895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48885.17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44084.05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49532.438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</row>
    <row r="10">
      <c r="A10" s="5" t="n">
        <v>45606</v>
      </c>
      <c r="B10" s="6" t="n">
        <v>49000</v>
      </c>
      <c r="C10" s="7" t="n">
        <v>51594.56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47797.72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52969.383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48094.96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43056.793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48967.527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</row>
    <row r="11">
      <c r="A11" s="5" t="n">
        <v>45613</v>
      </c>
      <c r="B11" s="6" t="n">
        <v>49000</v>
      </c>
      <c r="C11" s="7" t="n">
        <v>51219.82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47967.91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52425.15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47878.566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43129.22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48800.035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</row>
    <row r="12">
      <c r="A12" s="5" t="n">
        <v>45620</v>
      </c>
      <c r="B12" s="6" t="n">
        <v>49000</v>
      </c>
      <c r="C12" s="7" t="n">
        <v>50614.387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47835.816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52373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47548.793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43150.22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49167.445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</row>
    <row r="13">
      <c r="A13" s="5" t="n">
        <v>45627</v>
      </c>
      <c r="B13" s="6" t="n">
        <v>48500</v>
      </c>
      <c r="C13" s="7" t="n">
        <v>50413.26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48261.97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52756.816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47622.793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43155.438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48975.836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</row>
    <row r="14">
      <c r="A14" s="5" t="n">
        <v>45634</v>
      </c>
      <c r="B14" s="6" t="n">
        <v>48200</v>
      </c>
      <c r="C14" s="7" t="n">
        <v>50570.71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47589.203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52343.56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48015.18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42802.812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48820.95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</row>
    <row r="15">
      <c r="A15" s="5" t="n">
        <v>45641</v>
      </c>
      <c r="B15" s="6" t="n">
        <v>48200</v>
      </c>
      <c r="C15" s="7" t="n">
        <v>50561.51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47202.13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52294.727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48002.375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42636.105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48669.18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</row>
    <row r="16">
      <c r="A16" s="5" t="n">
        <v>45648</v>
      </c>
      <c r="B16" s="6" t="n">
        <v>48200</v>
      </c>
      <c r="C16" s="7" t="n">
        <v>48184.17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46654.324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52723.277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46344.836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41216.082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46716.188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</row>
    <row r="17">
      <c r="A17" s="5" t="n">
        <v>45655</v>
      </c>
      <c r="B17" s="6" t="n">
        <v>48100</v>
      </c>
      <c r="C17" s="7" t="n">
        <v>48095.62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46319.92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53210.5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46515.055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41720.67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47091.45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</row>
    <row r="18">
      <c r="A18" s="5" t="n">
        <v>45662</v>
      </c>
      <c r="B18" s="6" t="n">
        <v>48100</v>
      </c>
      <c r="C18" s="7" t="n">
        <v>48113.227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46525.387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53167.684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46704.348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42000.793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46682.773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</row>
    <row r="19">
      <c r="A19" s="5" t="n">
        <v>45669</v>
      </c>
      <c r="B19" s="6" t="n">
        <v>48200</v>
      </c>
      <c r="C19" s="7" t="n">
        <v>48151.15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46429.453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52987.234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46843.73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42292.594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47200.355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</row>
    <row r="20">
      <c r="A20" s="5" t="n">
        <v>45676</v>
      </c>
      <c r="B20" s="6" t="n">
        <v>48500</v>
      </c>
      <c r="C20" s="7" t="n">
        <v>48141.6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46446.227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53396.312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47096.723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42802.465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46935.996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</row>
    <row r="21">
      <c r="A21" s="5" t="n">
        <v>45683</v>
      </c>
      <c r="B21" s="6" t="n">
        <v>48400</v>
      </c>
      <c r="C21" s="7" t="n">
        <v>48455.703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46374.83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53796.094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47672.17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43237.19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47843.023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</row>
    <row r="22">
      <c r="A22" s="5" t="n">
        <v>45690</v>
      </c>
      <c r="B22" s="6" t="n">
        <v>48600</v>
      </c>
      <c r="C22" s="7" t="n">
        <v>48330.8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47391.895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54530.156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48125.76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43548.074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47338.004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</row>
    <row r="23">
      <c r="A23" s="5" t="n">
        <v>45697</v>
      </c>
      <c r="B23" s="6" t="n">
        <v>49000</v>
      </c>
      <c r="C23" s="7" t="n">
        <v>48684.652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48096.71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54560.016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47501.273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42685.793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47244.14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</row>
    <row r="24">
      <c r="A24" s="5" t="n">
        <v>45704</v>
      </c>
      <c r="B24" s="6" t="n">
        <v>49000</v>
      </c>
      <c r="C24" s="7" t="n">
        <v>49055.82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48419.098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54549.8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47016.21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42244.25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46726.33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</row>
    <row r="25">
      <c r="A25" s="5" t="n">
        <v>45711</v>
      </c>
      <c r="B25" s="6" t="n">
        <v>49000</v>
      </c>
      <c r="C25" s="7" t="n">
        <v>49007.676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48431.49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54703.58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46668.293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42113.797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46894.438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</row>
    <row r="26">
      <c r="A26" s="5" t="n">
        <v>45718</v>
      </c>
      <c r="B26" s="6" t="n">
        <v>49000</v>
      </c>
      <c r="C26" s="7" t="n">
        <v>48980.562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48496.78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54479.797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47211.47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43092.85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47114.523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</row>
    <row r="27">
      <c r="A27" s="5" t="n">
        <v>45725</v>
      </c>
      <c r="B27" s="6" t="n">
        <v>49000</v>
      </c>
      <c r="C27" s="7" t="n">
        <v>49049.414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48164.87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54193.145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47664.387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43208.918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47453.883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</row>
    <row r="28">
      <c r="A28" s="5" t="n">
        <v>45732</v>
      </c>
      <c r="B28" s="6" t="n">
        <v>49500</v>
      </c>
      <c r="C28" s="7" t="n">
        <v>49156.35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48663.695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54306.51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47521.082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43027.25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47579.715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</row>
    <row r="29">
      <c r="A29" s="5" t="n">
        <v>45739</v>
      </c>
      <c r="B29" s="6" t="n">
        <v>49600</v>
      </c>
      <c r="C29" s="7" t="n">
        <v>49260.336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49931.418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54878.156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47908.42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43171.484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47835.176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</row>
    <row r="30">
      <c r="A30" s="5" t="n">
        <v>45746</v>
      </c>
      <c r="B30" s="6" t="n">
        <v>51500</v>
      </c>
      <c r="C30" s="7" t="n">
        <v>49608.574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50626.535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54774.87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48500.953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43368.566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48740.234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</row>
    <row r="31">
      <c r="A31" s="5" t="n">
        <v>45753</v>
      </c>
      <c r="B31" s="6" t="n">
        <v>52000</v>
      </c>
      <c r="C31" s="7" t="n">
        <v>51190.1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51841.504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54361.613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48344.383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43439.11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48892.457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</row>
    <row r="32">
      <c r="A32" s="5" t="n">
        <v>45760</v>
      </c>
      <c r="B32" s="6" t="n">
        <v>51500</v>
      </c>
      <c r="C32" s="7" t="n">
        <v>51796.344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52035.645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53480.68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48496.582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44192.285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49872.125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</row>
    <row r="33">
      <c r="A33" s="5" t="n">
        <v>45767</v>
      </c>
      <c r="B33" s="6" t="n">
        <v>51500</v>
      </c>
      <c r="C33" s="7" t="n">
        <v>51839.633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51704.914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53776.492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48796.31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44873.36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49845.523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</row>
    <row r="34">
      <c r="A34" s="5" t="n">
        <v>45774</v>
      </c>
      <c r="B34" s="6" t="n">
        <v>52500</v>
      </c>
      <c r="C34" s="7" t="n">
        <v>51727.79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51341.254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54153.418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49281.29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45784.95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50261.9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</row>
    <row r="35">
      <c r="A35" s="5" t="n">
        <v>45781</v>
      </c>
      <c r="B35" s="6" t="n">
        <v>53000</v>
      </c>
      <c r="C35" s="7" t="n">
        <v>52417.555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52389.81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54132.742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49300.973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45574.17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49607.25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</row>
    <row r="36">
      <c r="A36" s="5" t="n">
        <v>45788</v>
      </c>
      <c r="B36" s="6" t="n">
        <v>53000</v>
      </c>
      <c r="C36" s="7" t="n">
        <v>52646.66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52457.12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53861.625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48981.79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44945.207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48717.38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</row>
    <row r="37">
      <c r="A37" s="5" t="n">
        <v>45795</v>
      </c>
      <c r="B37" s="6" t="n">
        <v>53300</v>
      </c>
      <c r="C37" s="7" t="n">
        <v>52747.375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52432.527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53719.977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48819.92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44379.176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48479.32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</row>
    <row r="38">
      <c r="A38" s="5" t="n">
        <v>45802</v>
      </c>
      <c r="B38" s="6" t="n">
        <v>52800</v>
      </c>
      <c r="C38" s="7" t="n">
        <v>53303.547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52168.71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54021.3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48685.402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44104.96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48490.14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</row>
    <row r="39">
      <c r="A39" s="5" t="n">
        <v>45809</v>
      </c>
      <c r="B39" s="6" t="n">
        <v>52000</v>
      </c>
      <c r="C39" s="7" t="n">
        <v>53038.133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51688.14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53719.074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48717.137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44079.51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48178.555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</row>
    <row r="40">
      <c r="A40" s="5" t="n">
        <v>45816</v>
      </c>
      <c r="B40" s="6" t="n">
        <v>52000</v>
      </c>
      <c r="C40" s="7" t="n">
        <v>51388.445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51054.9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53461.16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48294.977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44218.99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49286.656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</row>
    <row r="41">
      <c r="A41" s="5" t="n">
        <v>45823</v>
      </c>
      <c r="B41" s="6" t="n">
        <v>52000</v>
      </c>
      <c r="C41" s="7" t="n">
        <v>51304.76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50973.363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53794.21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48136.047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44019.855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48904.934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</row>
    <row r="42">
      <c r="A42" s="5" t="n">
        <v>45830</v>
      </c>
      <c r="B42" s="6" t="n">
        <v>52000</v>
      </c>
      <c r="C42" s="7" t="n">
        <v>51065.535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51449.195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54125.14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47948.83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43512.605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48848.805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</row>
    <row r="43">
      <c r="A43" s="5" t="n">
        <v>45837</v>
      </c>
      <c r="B43" s="6" t="n">
        <v>51900</v>
      </c>
      <c r="C43" s="7" t="n">
        <v>51465.043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50942.332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54226.387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47812.77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43234.64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48228.137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</row>
    <row r="44">
      <c r="A44" s="5" t="n">
        <v>45844</v>
      </c>
      <c r="B44" s="6" t="n">
        <v>51600</v>
      </c>
      <c r="C44" s="7" t="n">
        <v>51253.145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50888.06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53780.82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47982.34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43200.645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48205.82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</row>
    <row r="45">
      <c r="A45" s="5" t="n">
        <v>45851</v>
      </c>
      <c r="B45" s="6" t="n">
        <v>51000</v>
      </c>
      <c r="C45" s="7" t="n">
        <v>51378.207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50487.797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53866.312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47464.67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42928.637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48268.85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</row>
    <row r="46">
      <c r="A46" s="5" t="n">
        <v>45858</v>
      </c>
      <c r="B46" s="6" t="n">
        <v>50500</v>
      </c>
      <c r="C46" s="7" t="n">
        <v>51431.523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49748.17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53897.1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47447.293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43043.273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48001.28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</row>
    <row r="47">
      <c r="A47" s="5" t="n">
        <v>45865</v>
      </c>
      <c r="B47" s="6" t="n">
        <v>50000</v>
      </c>
      <c r="C47" s="7" t="n">
        <v>51425.855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49178.043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53880.605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47426.207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43095.83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47705.85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</row>
    <row r="48">
      <c r="A48" s="5" t="n">
        <v>45872</v>
      </c>
      <c r="B48" s="6" t="n">
        <v>50000</v>
      </c>
      <c r="C48" s="7" t="n">
        <v>51248.867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48451.293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53261.92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47072.336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43142.297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47296.195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</row>
    <row r="49">
      <c r="A49" s="5" t="n">
        <v>45879</v>
      </c>
      <c r="B49" s="6" t="n">
        <v>50300</v>
      </c>
      <c r="C49" s="7" t="n">
        <v>50831.586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48692.055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52596.36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46569.664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42620.434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46995.777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</row>
    <row r="50">
      <c r="A50" s="5" t="n">
        <v>45886</v>
      </c>
      <c r="B50" s="6" t="n">
        <v>50500</v>
      </c>
      <c r="C50" s="7" t="n">
        <v>50690.355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50320.57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52720.656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46863.234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43016.54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47087.094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</row>
    <row r="51">
      <c r="A51" s="5" t="n">
        <v>45893</v>
      </c>
      <c r="B51" s="6" t="n">
        <v>50500</v>
      </c>
      <c r="C51" s="7" t="n">
        <v>50762.418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50549.562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53121.586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47243.098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43155.6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47658.24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</row>
    <row r="52">
      <c r="A52" s="5" t="n">
        <v>45900</v>
      </c>
      <c r="B52" s="6" t="n">
        <v>50700</v>
      </c>
      <c r="C52" s="7" t="n">
        <v>50360.145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50172.73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53200.95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46341.9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41298.926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46361.66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</row>
    <row r="53">
      <c r="A53" s="5" t="n">
        <v>45907</v>
      </c>
      <c r="B53" s="6" t="n">
        <v>50800</v>
      </c>
      <c r="C53" s="7" t="n">
        <v>50325.555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49312.055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53250.023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46200.32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41015.13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46073.82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</row>
    <row r="54">
      <c r="A54" s="5" t="n">
        <v>45914</v>
      </c>
      <c r="B54" s="6" t="n">
        <v>50500</v>
      </c>
      <c r="C54" s="7" t="n">
        <v>50289.19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49306.117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52921.656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46022.082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40172.855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45562.316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</row>
    <row r="55">
      <c r="A55" s="5" t="n">
        <v>45921</v>
      </c>
      <c r="B55" s="6" t="n">
        <v>50000</v>
      </c>
      <c r="C55" s="7" t="n">
        <v>50336.047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49147.355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52849.03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45707.84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40238.39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45193.312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</row>
    <row r="56">
      <c r="A56" s="5" t="n">
        <v>45928</v>
      </c>
      <c r="B56" s="6" t="n">
        <v>50000</v>
      </c>
      <c r="C56" s="7" t="n">
        <v>49791.094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49134.023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52281.863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45278.65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40224.277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45162.973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</row>
    <row r="57">
      <c r="A57" s="5" t="n">
        <v>45935</v>
      </c>
      <c r="B57" s="6" t="n">
        <v>50000</v>
      </c>
      <c r="C57" s="7" t="n">
        <v>50066.434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49086.598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51928.453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45418.984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40217.543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44863.355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</row>
    <row r="58">
      <c r="A58" s="5" t="n">
        <v>45942</v>
      </c>
      <c r="B58" s="6" t="n">
        <v>49800</v>
      </c>
      <c r="C58" s="7" t="n">
        <v>50018.414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48534.31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51888.68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45137.387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39523.457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44759.168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</row>
    <row r="59">
      <c r="A59" s="5" t="n">
        <v>45949</v>
      </c>
      <c r="B59" s="6" t="n">
        <v>49000</v>
      </c>
      <c r="C59" s="7" t="n">
        <v>49982.055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48124.043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51857.355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44896.434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39486.71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44196.965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</row>
    <row r="60">
      <c r="A60" s="5" t="n">
        <v>45956</v>
      </c>
      <c r="B60" s="6" t="n">
        <v>49000</v>
      </c>
      <c r="C60" s="7" t="n">
        <v>49819.26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47584.57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51658.926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44134.324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39004.91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43811.168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</row>
    <row r="61">
      <c r="A61" s="5" t="n">
        <v>45963</v>
      </c>
      <c r="B61" s="6" t="n">
        <v>49000</v>
      </c>
      <c r="C61" s="7" t="n">
        <v>49601.457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47582.93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51609.027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43561.273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38500.695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43104.145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</row>
    <row r="62">
      <c r="A62" s="5" t="n">
        <v>45970</v>
      </c>
      <c r="B62" s="6" t="n">
        <v>49600</v>
      </c>
      <c r="C62" s="7" t="n">
        <v>49074.855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46997.066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51352.26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43249.582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37767.26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43062.79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</row>
    <row r="63">
      <c r="A63" s="5" t="n">
        <v>45977</v>
      </c>
      <c r="B63" s="6" t="n">
        <v>49600</v>
      </c>
      <c r="C63" s="7" t="n">
        <v>49108.766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47721.97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51439.344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43463.22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38004.348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42767.234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</row>
    <row r="64">
      <c r="A64" s="5" t="n">
        <v>45984</v>
      </c>
      <c r="B64" s="6" t="n">
        <v>49000</v>
      </c>
      <c r="C64" s="7" t="n">
        <v>49601.293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47122.168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46673.703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42438.758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37867.785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42947.31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</row>
    <row r="65">
      <c r="A65" s="5" t="n">
        <v>45991</v>
      </c>
      <c r="B65" s="6" t="n">
        <v>48600</v>
      </c>
      <c r="C65" s="7" t="n">
        <v>49726.92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46636.383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46424.547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42430.523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38026.26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43335.684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</row>
    <row r="66">
      <c r="A66" s="5" t="n">
        <v>45998</v>
      </c>
      <c r="B66" s="6" t="n">
        <v>46700</v>
      </c>
      <c r="C66" s="7" t="n">
        <v>49913.29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45885.887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46928.418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42750.062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38479.363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43933.055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</row>
    <row r="67">
      <c r="A67" s="5" t="n">
        <v>46005</v>
      </c>
      <c r="B67" s="6" t="n">
        <v>46800</v>
      </c>
      <c r="C67" s="7" t="n">
        <v>49594.36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45841.543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47303.887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42960.387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38723.457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44822.78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</row>
    <row r="68">
      <c r="A68" s="5" t="n">
        <v>46012</v>
      </c>
      <c r="B68" s="6" t="n">
        <v>46800</v>
      </c>
      <c r="C68" s="7" t="n">
        <v>49774.656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45917.453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47610.43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43854.754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39525.984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44308.62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</row>
    <row r="69">
      <c r="A69" s="5" t="n">
        <v>46019</v>
      </c>
      <c r="B69" s="6" t="n">
        <v>48000</v>
      </c>
      <c r="C69" s="7" t="n">
        <v>49520.934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46882.965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49527.84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44149.242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39298.098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45000.54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</row>
    <row r="70">
      <c r="A70" s="5" t="n">
        <v>46026</v>
      </c>
      <c r="B70" s="6" t="n">
        <v>50400</v>
      </c>
      <c r="C70" s="7" t="n">
        <v>49662.02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49021.246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52693.375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44869.543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39864.094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45782.402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</row>
    <row r="71">
      <c r="A71" s="5" t="n">
        <v>46033</v>
      </c>
      <c r="B71" s="6" t="n">
        <v>51400</v>
      </c>
      <c r="C71" s="7" t="n">
        <v>49356.586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51353.71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53239.676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48287.16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45193.31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49295.266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</row>
    <row r="72">
      <c r="A72" s="5" t="n">
        <v>46040</v>
      </c>
      <c r="B72" s="6" t="n">
        <v>52000</v>
      </c>
      <c r="C72" s="7" t="n">
        <v>49381.426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50690.24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54681.883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48617.773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43795.625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48250.43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</row>
    <row r="73">
      <c r="A73" s="5" t="n">
        <v>46047</v>
      </c>
      <c r="B73" s="6" t="n">
        <v>53000</v>
      </c>
      <c r="C73" s="7" t="n">
        <v>49754.598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52424.715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56188.26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49409.383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43891.047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48680.312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</row>
    <row r="74">
      <c r="A74" s="5" t="n">
        <v>46054</v>
      </c>
      <c r="B74" s="6" t="n">
        <v>53400</v>
      </c>
      <c r="C74" s="7" t="n">
        <v>49564.094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52333.344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57633.473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49960.023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43973.414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49160.57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</row>
    <row r="75">
      <c r="A75" s="5" t="n">
        <v>46061</v>
      </c>
      <c r="B75" s="6" t="n">
        <v>55100</v>
      </c>
      <c r="C75" s="7" t="n">
        <v>49966.164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53618.598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58482.64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50495.484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43973.086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48982.01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</row>
    <row r="76">
      <c r="A76" s="5" t="n">
        <v>46068</v>
      </c>
      <c r="B76" s="6" t="n">
        <v>55200</v>
      </c>
      <c r="C76" s="7" t="n">
        <v>50780.758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COUNTIF(G76:G85,1)&amp;"/"&amp;COUNT(G76:G85)</f>
        <v/>
      </c>
      <c r="I76" s="6" t="n">
        <v>53650</v>
      </c>
      <c r="J76" s="7" t="n">
        <v>54178.82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COUNTIF(N76:N85,1)&amp;"/"&amp;COUNT(N76:N85)</f>
        <v/>
      </c>
      <c r="P76" s="6" t="n">
        <v>58900</v>
      </c>
      <c r="Q76" s="7" t="n">
        <v>58982.848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COUNTIF(U76:U85,1)&amp;"/"&amp;COUNT(U76:U85)</f>
        <v/>
      </c>
      <c r="W76" s="6" t="n">
        <v>50000</v>
      </c>
      <c r="X76" s="7" t="n">
        <v>49351.367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COUNTIF(AB76:AB85,1)&amp;"/"&amp;COUNT(AB76:AB85)</f>
        <v/>
      </c>
      <c r="AD76" s="6" t="n">
        <v>45266.67</v>
      </c>
      <c r="AE76" s="7" t="n">
        <v>43445.652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COUNTIF(AI76:AI85,1)&amp;"/"&amp;COUNT(AI76:AI85)</f>
        <v/>
      </c>
      <c r="AK76" s="6" t="n">
        <v>49800</v>
      </c>
      <c r="AL76" s="7" t="n">
        <v>48213.664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COUNTIF(AP76:AP85,1)&amp;"/"&amp;COUNT(AP76:AP85)</f>
        <v/>
      </c>
    </row>
    <row r="77">
      <c r="A77" s="5" t="n">
        <v>46075</v>
      </c>
      <c r="B77" s="6" t="n">
        <v>54600</v>
      </c>
      <c r="C77" s="7" t="n">
        <v>50741.137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53770.48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59605.85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49251.164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44231.586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48855.84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</row>
    <row r="78">
      <c r="A78" s="5" t="n">
        <v>46082</v>
      </c>
      <c r="B78" s="6" t="n">
        <v>54000</v>
      </c>
      <c r="C78" s="7" t="n">
        <v>51411.95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53705.97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59447.105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49321.47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44704.594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49114.426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</row>
    <row r="79">
      <c r="A79" s="5" t="n">
        <v>46089</v>
      </c>
      <c r="B79" s="6" t="n">
        <v>54400</v>
      </c>
      <c r="C79" s="7" t="n">
        <v>51253.957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53205.434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58943.41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49200.05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44257.09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48652.3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</row>
    <row r="80">
      <c r="A80" s="5" t="n">
        <v>46096</v>
      </c>
      <c r="B80" s="6" t="n">
        <v>55600</v>
      </c>
      <c r="C80" s="7" t="n">
        <v>51159.277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54499.125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59217.535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49513.65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44795.06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48859.58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</row>
    <row r="81">
      <c r="A81" s="5" t="n">
        <v>46103</v>
      </c>
      <c r="B81" s="6" t="n">
        <v>56900</v>
      </c>
      <c r="C81" s="7" t="n">
        <v>50369.688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55752.395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59581.258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50052.04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45146.93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49159.215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</row>
    <row r="82">
      <c r="A82" s="5" t="n">
        <v>46110</v>
      </c>
      <c r="B82" s="6" t="n">
        <v>58200</v>
      </c>
      <c r="C82" s="7" t="n">
        <v>50750.695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56944.492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59823.086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49949.793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45552.633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49327.293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</row>
    <row r="83">
      <c r="A83" s="5" t="n">
        <v>46117</v>
      </c>
      <c r="B83" s="6" t="n">
        <v>59100</v>
      </c>
      <c r="C83" s="7" t="n">
        <v>51107.223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58125.63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59708.785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50695.67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45601.285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49699.31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</row>
    <row r="84">
      <c r="A84" s="5" t="n">
        <v>46124</v>
      </c>
      <c r="B84" s="6" t="n">
        <v>59500</v>
      </c>
      <c r="C84" s="7" t="n">
        <v>50678.934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59731.44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60014.453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51566.508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46780.188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50238.03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</row>
    <row r="85">
      <c r="A85" s="5" t="n">
        <v>46131</v>
      </c>
      <c r="B85" s="6" t="n">
        <v>59500</v>
      </c>
      <c r="C85" s="7" t="n">
        <v>51029.63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59943.13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60421.758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52602.11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46768.336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51059.586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</row>
  </sheetData>
  <mergeCells count="49">
    <mergeCell ref="AC40:AC51"/>
    <mergeCell ref="I1:O1"/>
    <mergeCell ref="O52:O63"/>
    <mergeCell ref="H16:H27"/>
    <mergeCell ref="AJ64:AJ75"/>
    <mergeCell ref="V16:V27"/>
    <mergeCell ref="H28:H39"/>
    <mergeCell ref="AC52:AC63"/>
    <mergeCell ref="AJ76:AJ85"/>
    <mergeCell ref="H76:H85"/>
    <mergeCell ref="AQ28:AQ39"/>
    <mergeCell ref="AQ40:AQ51"/>
    <mergeCell ref="AJ4:AJ15"/>
    <mergeCell ref="AJ40:AJ51"/>
    <mergeCell ref="V52:V63"/>
    <mergeCell ref="H4:H15"/>
    <mergeCell ref="AJ16:AJ27"/>
    <mergeCell ref="AJ52:AJ63"/>
    <mergeCell ref="AC16:AC27"/>
    <mergeCell ref="V64:V75"/>
    <mergeCell ref="O28:O39"/>
    <mergeCell ref="V76:V85"/>
    <mergeCell ref="AQ76:AQ85"/>
    <mergeCell ref="V4:V15"/>
    <mergeCell ref="P1:V1"/>
    <mergeCell ref="AC28:AC39"/>
    <mergeCell ref="A1:A3"/>
    <mergeCell ref="AQ16:AQ27"/>
    <mergeCell ref="H64:H75"/>
    <mergeCell ref="AC76:AC85"/>
    <mergeCell ref="V28:V39"/>
    <mergeCell ref="AD1:AJ1"/>
    <mergeCell ref="H40:H51"/>
    <mergeCell ref="W1:AC1"/>
    <mergeCell ref="V40:V51"/>
    <mergeCell ref="O4:O15"/>
    <mergeCell ref="H52:H63"/>
    <mergeCell ref="AQ52:AQ63"/>
    <mergeCell ref="B1:H1"/>
    <mergeCell ref="AC64:AC75"/>
    <mergeCell ref="AC4:AC15"/>
    <mergeCell ref="O16:O27"/>
    <mergeCell ref="AQ4:AQ15"/>
    <mergeCell ref="AQ64:AQ75"/>
    <mergeCell ref="O64:O75"/>
    <mergeCell ref="AJ28:AJ39"/>
    <mergeCell ref="O40:O51"/>
    <mergeCell ref="AK1:AQ1"/>
    <mergeCell ref="O76:O8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8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</row>
    <row r="3">
      <c r="D3" s="4">
        <f>AVERAGE(D4:D85)</f>
        <v/>
      </c>
      <c r="E3" s="4">
        <f>AVERAGE(E4:E85)</f>
        <v/>
      </c>
      <c r="F3" s="4">
        <f>AVERAGE(F4:F85)</f>
        <v/>
      </c>
      <c r="G3" s="4">
        <f>AVERAGE(G4:G85)</f>
        <v/>
      </c>
      <c r="K3" s="4">
        <f>AVERAGE(K4:K85)</f>
        <v/>
      </c>
      <c r="L3" s="4">
        <f>AVERAGE(L4:L85)</f>
        <v/>
      </c>
      <c r="M3" s="4">
        <f>AVERAGE(M4:M85)</f>
        <v/>
      </c>
      <c r="N3" s="4">
        <f>AVERAGE(N4:N85)</f>
        <v/>
      </c>
      <c r="R3" s="4">
        <f>AVERAGE(R4:R85)</f>
        <v/>
      </c>
      <c r="S3" s="4">
        <f>AVERAGE(S4:S85)</f>
        <v/>
      </c>
      <c r="T3" s="4">
        <f>AVERAGE(T4:T85)</f>
        <v/>
      </c>
      <c r="U3" s="4">
        <f>AVERAGE(U4:U85)</f>
        <v/>
      </c>
      <c r="Y3" s="4">
        <f>AVERAGE(Y4:Y85)</f>
        <v/>
      </c>
      <c r="Z3" s="4">
        <f>AVERAGE(Z4:Z85)</f>
        <v/>
      </c>
      <c r="AA3" s="4">
        <f>AVERAGE(AA4:AA85)</f>
        <v/>
      </c>
      <c r="AB3" s="4">
        <f>AVERAGE(AB4:AB85)</f>
        <v/>
      </c>
      <c r="AF3" s="4">
        <f>AVERAGE(AF4:AF85)</f>
        <v/>
      </c>
      <c r="AG3" s="4">
        <f>AVERAGE(AG4:AG85)</f>
        <v/>
      </c>
      <c r="AH3" s="4">
        <f>AVERAGE(AH4:AH85)</f>
        <v/>
      </c>
      <c r="AI3" s="4">
        <f>AVERAGE(AI4:AI85)</f>
        <v/>
      </c>
      <c r="AM3" s="4">
        <f>AVERAGE(AM4:AM85)</f>
        <v/>
      </c>
      <c r="AN3" s="4">
        <f>AVERAGE(AN4:AN85)</f>
        <v/>
      </c>
      <c r="AO3" s="4">
        <f>AVERAGE(AO4:AO85)</f>
        <v/>
      </c>
      <c r="AP3" s="4">
        <f>AVERAGE(AP4:AP85)</f>
        <v/>
      </c>
    </row>
    <row r="4">
      <c r="A4" s="5" t="n">
        <v>45564</v>
      </c>
      <c r="B4" s="6" t="n">
        <v>49000</v>
      </c>
      <c r="C4" s="7" t="n">
        <v>50411.793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46251.562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49901.645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45173.215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41516.93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46784.246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</row>
    <row r="5">
      <c r="A5" s="5" t="n">
        <v>45571</v>
      </c>
      <c r="B5" s="6" t="n">
        <v>49000</v>
      </c>
      <c r="C5" s="7" t="n">
        <v>48938.18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47234.715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50668.492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46140.324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43726.207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48260.508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</row>
    <row r="6">
      <c r="A6" s="5" t="n">
        <v>45578</v>
      </c>
      <c r="B6" s="6" t="n">
        <v>49200</v>
      </c>
      <c r="C6" s="7" t="n">
        <v>49030.984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48263.727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52728.105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47991.344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44983.56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49970.008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</row>
    <row r="7">
      <c r="A7" s="5" t="n">
        <v>45585</v>
      </c>
      <c r="B7" s="6" t="n">
        <v>49200</v>
      </c>
      <c r="C7" s="7" t="n">
        <v>49359.82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49121.09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53874.203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49231.785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44616.76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50176.016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</row>
    <row r="8">
      <c r="A8" s="5" t="n">
        <v>45592</v>
      </c>
      <c r="B8" s="6" t="n">
        <v>49200</v>
      </c>
      <c r="C8" s="7" t="n">
        <v>49417.574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48679.637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54733.086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48403.406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44156.69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49824.19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</row>
    <row r="9">
      <c r="A9" s="5" t="n">
        <v>45599</v>
      </c>
      <c r="B9" s="6" t="n">
        <v>49200</v>
      </c>
      <c r="C9" s="7" t="n">
        <v>49437.797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48160.188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54611.727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47358.926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42549.434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48602.79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</row>
    <row r="10">
      <c r="A10" s="5" t="n">
        <v>45606</v>
      </c>
      <c r="B10" s="6" t="n">
        <v>49000</v>
      </c>
      <c r="C10" s="7" t="n">
        <v>49380.21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47954.1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55071.12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47012.64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42358.582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48376.72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</row>
    <row r="11">
      <c r="A11" s="5" t="n">
        <v>45613</v>
      </c>
      <c r="B11" s="6" t="n">
        <v>49000</v>
      </c>
      <c r="C11" s="7" t="n">
        <v>49101.258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48402.71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54749.2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47168.023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42761.492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48827.15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</row>
    <row r="12">
      <c r="A12" s="5" t="n">
        <v>45620</v>
      </c>
      <c r="B12" s="6" t="n">
        <v>49000</v>
      </c>
      <c r="C12" s="7" t="n">
        <v>49083.492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48007.73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54060.883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47807.01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42827.914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48999.94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</row>
    <row r="13">
      <c r="A13" s="5" t="n">
        <v>45627</v>
      </c>
      <c r="B13" s="6" t="n">
        <v>48500</v>
      </c>
      <c r="C13" s="7" t="n">
        <v>49082.1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48024.77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53944.848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47714.36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42368.95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48790.477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</row>
    <row r="14">
      <c r="A14" s="5" t="n">
        <v>45634</v>
      </c>
      <c r="B14" s="6" t="n">
        <v>48200</v>
      </c>
      <c r="C14" s="7" t="n">
        <v>48428.47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47718.832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53780.434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47279.863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41732.16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48518.32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</row>
    <row r="15">
      <c r="A15" s="5" t="n">
        <v>45641</v>
      </c>
      <c r="B15" s="6" t="n">
        <v>48200</v>
      </c>
      <c r="C15" s="7" t="n">
        <v>48070.465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47073.03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52916.734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47298.438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42467.42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48439.13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</row>
    <row r="16">
      <c r="A16" s="5" t="n">
        <v>45648</v>
      </c>
      <c r="B16" s="6" t="n">
        <v>48200</v>
      </c>
      <c r="C16" s="7" t="n">
        <v>48058.797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47080.332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52365.76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47045.816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42598.31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47283.582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</row>
    <row r="17">
      <c r="A17" s="5" t="n">
        <v>45655</v>
      </c>
      <c r="B17" s="6" t="n">
        <v>48100</v>
      </c>
      <c r="C17" s="7" t="n">
        <v>47971.39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46616.125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52530.54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46913.914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42209.5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47340.31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</row>
    <row r="18">
      <c r="A18" s="5" t="n">
        <v>45662</v>
      </c>
      <c r="B18" s="6" t="n">
        <v>48100</v>
      </c>
      <c r="C18" s="7" t="n">
        <v>47873.062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47224.73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52751.164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47692.867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42767.73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47085.16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</row>
    <row r="19">
      <c r="A19" s="5" t="n">
        <v>45669</v>
      </c>
      <c r="B19" s="6" t="n">
        <v>48200</v>
      </c>
      <c r="C19" s="7" t="n">
        <v>47940.844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47402.56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52579.164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47820.74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42234.164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47782.316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</row>
    <row r="20">
      <c r="A20" s="5" t="n">
        <v>45676</v>
      </c>
      <c r="B20" s="6" t="n">
        <v>48500</v>
      </c>
      <c r="C20" s="7" t="n">
        <v>48180.516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47071.387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52464.86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47765.51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42441.17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46893.55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</row>
    <row r="21">
      <c r="A21" s="5" t="n">
        <v>45683</v>
      </c>
      <c r="B21" s="6" t="n">
        <v>48400</v>
      </c>
      <c r="C21" s="7" t="n">
        <v>48453.094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47019.926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52504.53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47132.58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41680.42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46687.957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</row>
    <row r="22">
      <c r="A22" s="5" t="n">
        <v>45690</v>
      </c>
      <c r="B22" s="6" t="n">
        <v>48600</v>
      </c>
      <c r="C22" s="7" t="n">
        <v>48400.754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47500.895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52458.94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47126.29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41442.875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46620.336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</row>
    <row r="23">
      <c r="A23" s="5" t="n">
        <v>45697</v>
      </c>
      <c r="B23" s="6" t="n">
        <v>49000</v>
      </c>
      <c r="C23" s="7" t="n">
        <v>48627.043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49125.18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52675.434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46988.277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40897.27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47534.33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</row>
    <row r="24">
      <c r="A24" s="5" t="n">
        <v>45704</v>
      </c>
      <c r="B24" s="6" t="n">
        <v>49000</v>
      </c>
      <c r="C24" s="7" t="n">
        <v>49032.82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49000.207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52379.645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47036.72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41246.25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47167.664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</row>
    <row r="25">
      <c r="A25" s="5" t="n">
        <v>45711</v>
      </c>
      <c r="B25" s="6" t="n">
        <v>49000</v>
      </c>
      <c r="C25" s="7" t="n">
        <v>48981.953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48698.5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52166.77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46802.816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41404.47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47591.85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</row>
    <row r="26">
      <c r="A26" s="5" t="n">
        <v>45718</v>
      </c>
      <c r="B26" s="6" t="n">
        <v>49000</v>
      </c>
      <c r="C26" s="7" t="n">
        <v>48977.445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48419.625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53234.03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47415.664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42958.65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47266.54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</row>
    <row r="27">
      <c r="A27" s="5" t="n">
        <v>45725</v>
      </c>
      <c r="B27" s="6" t="n">
        <v>49000</v>
      </c>
      <c r="C27" s="7" t="n">
        <v>49003.207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48318.637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55012.926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48494.73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42856.06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47662.773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</row>
    <row r="28">
      <c r="A28" s="5" t="n">
        <v>45732</v>
      </c>
      <c r="B28" s="6" t="n">
        <v>49500</v>
      </c>
      <c r="C28" s="7" t="n">
        <v>48784.426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48939.824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55021.45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48764.414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43233.61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47760.27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</row>
    <row r="29">
      <c r="A29" s="5" t="n">
        <v>45739</v>
      </c>
      <c r="B29" s="6" t="n">
        <v>49600</v>
      </c>
      <c r="C29" s="7" t="n">
        <v>49286.785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49852.027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55547.215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48947.96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43135.598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47836.09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</row>
    <row r="30">
      <c r="A30" s="5" t="n">
        <v>45746</v>
      </c>
      <c r="B30" s="6" t="n">
        <v>51500</v>
      </c>
      <c r="C30" s="7" t="n">
        <v>49549.06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50952.01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56337.094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49176.004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42720.05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48842.27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</row>
    <row r="31">
      <c r="A31" s="5" t="n">
        <v>45753</v>
      </c>
      <c r="B31" s="6" t="n">
        <v>52000</v>
      </c>
      <c r="C31" s="7" t="n">
        <v>51278.88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52920.355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57153.926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48944.3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43870.21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48907.375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</row>
    <row r="32">
      <c r="A32" s="5" t="n">
        <v>45760</v>
      </c>
      <c r="B32" s="6" t="n">
        <v>51500</v>
      </c>
      <c r="C32" s="7" t="n">
        <v>51730.766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52305.79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57308.48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49050.152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44668.77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49487.496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</row>
    <row r="33">
      <c r="A33" s="5" t="n">
        <v>45767</v>
      </c>
      <c r="B33" s="6" t="n">
        <v>51500</v>
      </c>
      <c r="C33" s="7" t="n">
        <v>51218.992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51603.184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57184.42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49253.098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45531.05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49568.59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</row>
    <row r="34">
      <c r="A34" s="5" t="n">
        <v>45774</v>
      </c>
      <c r="B34" s="6" t="n">
        <v>52500</v>
      </c>
      <c r="C34" s="7" t="n">
        <v>51308.715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51085.664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56979.242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49198.297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45569.598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49361.824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</row>
    <row r="35">
      <c r="A35" s="5" t="n">
        <v>45781</v>
      </c>
      <c r="B35" s="6" t="n">
        <v>53000</v>
      </c>
      <c r="C35" s="7" t="n">
        <v>52329.414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52637.816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56841.688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49316.27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45088.957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49123.25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</row>
    <row r="36">
      <c r="A36" s="5" t="n">
        <v>45788</v>
      </c>
      <c r="B36" s="6" t="n">
        <v>53000</v>
      </c>
      <c r="C36" s="7" t="n">
        <v>52750.93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53357.676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56644.125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49429.492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44877.83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48704.707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</row>
    <row r="37">
      <c r="A37" s="5" t="n">
        <v>45795</v>
      </c>
      <c r="B37" s="6" t="n">
        <v>53300</v>
      </c>
      <c r="C37" s="7" t="n">
        <v>52782.887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52147.52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56235.332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49082.04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44539.516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48603.16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</row>
    <row r="38">
      <c r="A38" s="5" t="n">
        <v>45802</v>
      </c>
      <c r="B38" s="6" t="n">
        <v>52800</v>
      </c>
      <c r="C38" s="7" t="n">
        <v>53092.766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51702.316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55815.273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47946.027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44042.76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48531.016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</row>
    <row r="39">
      <c r="A39" s="5" t="n">
        <v>45809</v>
      </c>
      <c r="B39" s="6" t="n">
        <v>52000</v>
      </c>
      <c r="C39" s="7" t="n">
        <v>52634.07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51992.27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55256.848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47352.777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43456.785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48196.38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</row>
    <row r="40">
      <c r="A40" s="5" t="n">
        <v>45816</v>
      </c>
      <c r="B40" s="6" t="n">
        <v>52000</v>
      </c>
      <c r="C40" s="7" t="n">
        <v>51668.273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51225.312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54230.152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47531.863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43035.824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47653.566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</row>
    <row r="41">
      <c r="A41" s="5" t="n">
        <v>45823</v>
      </c>
      <c r="B41" s="6" t="n">
        <v>52000</v>
      </c>
      <c r="C41" s="7" t="n">
        <v>51712.27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51462.996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53136.984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46616.42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42294.19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47153.145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</row>
    <row r="42">
      <c r="A42" s="5" t="n">
        <v>45830</v>
      </c>
      <c r="B42" s="6" t="n">
        <v>52000</v>
      </c>
      <c r="C42" s="7" t="n">
        <v>51765.25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51308.25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51821.695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46042.97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41854.89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46392.58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</row>
    <row r="43">
      <c r="A43" s="5" t="n">
        <v>45837</v>
      </c>
      <c r="B43" s="6" t="n">
        <v>51900</v>
      </c>
      <c r="C43" s="7" t="n">
        <v>51867.76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50562.13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50573.582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44862.5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41420.184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45872.566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</row>
    <row r="44">
      <c r="A44" s="5" t="n">
        <v>45844</v>
      </c>
      <c r="B44" s="6" t="n">
        <v>51600</v>
      </c>
      <c r="C44" s="7" t="n">
        <v>51810.055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50573.473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49522.516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43941.93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41127.13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45304.082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</row>
    <row r="45">
      <c r="A45" s="5" t="n">
        <v>45851</v>
      </c>
      <c r="B45" s="6" t="n">
        <v>51000</v>
      </c>
      <c r="C45" s="7" t="n">
        <v>51715.625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50103.84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48695.902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43313.805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40279.73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44787.75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</row>
    <row r="46">
      <c r="A46" s="5" t="n">
        <v>45858</v>
      </c>
      <c r="B46" s="6" t="n">
        <v>50500</v>
      </c>
      <c r="C46" s="7" t="n">
        <v>51189.88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49233.562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47787.93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42984.016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39275.332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44778.79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</row>
    <row r="47">
      <c r="A47" s="5" t="n">
        <v>45865</v>
      </c>
      <c r="B47" s="6" t="n">
        <v>50000</v>
      </c>
      <c r="C47" s="7" t="n">
        <v>50806.332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49313.26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46932.367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42734.234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39133.418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44565.566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</row>
    <row r="48">
      <c r="A48" s="5" t="n">
        <v>45872</v>
      </c>
      <c r="B48" s="6" t="n">
        <v>50000</v>
      </c>
      <c r="C48" s="7" t="n">
        <v>50347.297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48303.46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47604.63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42893.246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38731.266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45371.684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</row>
    <row r="49">
      <c r="A49" s="5" t="n">
        <v>45879</v>
      </c>
      <c r="B49" s="6" t="n">
        <v>50300</v>
      </c>
      <c r="C49" s="7" t="n">
        <v>50372.23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49538.746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48378.44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42980.906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39806.22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45960.14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</row>
    <row r="50">
      <c r="A50" s="5" t="n">
        <v>45886</v>
      </c>
      <c r="B50" s="6" t="n">
        <v>50500</v>
      </c>
      <c r="C50" s="7" t="n">
        <v>50762.477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50852.547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48144.203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44426.715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40186.69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46125.54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</row>
    <row r="51">
      <c r="A51" s="5" t="n">
        <v>45893</v>
      </c>
      <c r="B51" s="6" t="n">
        <v>50500</v>
      </c>
      <c r="C51" s="7" t="n">
        <v>51055.426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49949.973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47872.19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45424.062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40059.875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45857.938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</row>
    <row r="52">
      <c r="A52" s="5" t="n">
        <v>45900</v>
      </c>
      <c r="B52" s="6" t="n">
        <v>50700</v>
      </c>
      <c r="C52" s="7" t="n">
        <v>50808.758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50175.695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47242.246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45526.227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39820.676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45690.562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</row>
    <row r="53">
      <c r="A53" s="5" t="n">
        <v>45907</v>
      </c>
      <c r="B53" s="6" t="n">
        <v>50800</v>
      </c>
      <c r="C53" s="7" t="n">
        <v>51019.402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50029.367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47384.39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45396.32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39962.24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45150.69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</row>
    <row r="54">
      <c r="A54" s="5" t="n">
        <v>45914</v>
      </c>
      <c r="B54" s="6" t="n">
        <v>50500</v>
      </c>
      <c r="C54" s="7" t="n">
        <v>51119.816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49206.535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47247.734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44704.18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39393.73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45095.586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</row>
    <row r="55">
      <c r="A55" s="5" t="n">
        <v>45921</v>
      </c>
      <c r="B55" s="6" t="n">
        <v>50000</v>
      </c>
      <c r="C55" s="7" t="n">
        <v>50787.37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48818.957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47039.37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44618.29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39246.875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45519.92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</row>
    <row r="56">
      <c r="A56" s="5" t="n">
        <v>45928</v>
      </c>
      <c r="B56" s="6" t="n">
        <v>50000</v>
      </c>
      <c r="C56" s="7" t="n">
        <v>50289.73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48968.2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46807.26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44265.734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39555.953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45261.15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</row>
    <row r="57">
      <c r="A57" s="5" t="n">
        <v>45935</v>
      </c>
      <c r="B57" s="6" t="n">
        <v>50000</v>
      </c>
      <c r="C57" s="7" t="n">
        <v>50165.09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48840.08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47165.184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44362.863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39315.98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45198.73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</row>
    <row r="58">
      <c r="A58" s="5" t="n">
        <v>45942</v>
      </c>
      <c r="B58" s="6" t="n">
        <v>49800</v>
      </c>
      <c r="C58" s="7" t="n">
        <v>50022.914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48224.316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46896.438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43855.664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39563.48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44752.953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</row>
    <row r="59">
      <c r="A59" s="5" t="n">
        <v>45949</v>
      </c>
      <c r="B59" s="6" t="n">
        <v>49000</v>
      </c>
      <c r="C59" s="7" t="n">
        <v>49805.062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48043.45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46832.137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43103.855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39364.17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44341.387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</row>
    <row r="60">
      <c r="A60" s="5" t="n">
        <v>45956</v>
      </c>
      <c r="B60" s="6" t="n">
        <v>49000</v>
      </c>
      <c r="C60" s="7" t="n">
        <v>48876.848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47669.676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46948.984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42720.72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38952.6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43701.355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</row>
    <row r="61">
      <c r="A61" s="5" t="n">
        <v>45963</v>
      </c>
      <c r="B61" s="6" t="n">
        <v>49000</v>
      </c>
      <c r="C61" s="7" t="n">
        <v>48815.914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47825.582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47624.047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42558.03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38466.07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43168.18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</row>
    <row r="62">
      <c r="A62" s="5" t="n">
        <v>45970</v>
      </c>
      <c r="B62" s="6" t="n">
        <v>49600</v>
      </c>
      <c r="C62" s="7" t="n">
        <v>48823.875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46542.62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48158.28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41661.906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37701.277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43260.438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</row>
    <row r="63">
      <c r="A63" s="5" t="n">
        <v>45977</v>
      </c>
      <c r="B63" s="6" t="n">
        <v>49600</v>
      </c>
      <c r="C63" s="7" t="n">
        <v>49456.93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47484.227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47503.227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41556.31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37464.984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43030.86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</row>
    <row r="64">
      <c r="A64" s="5" t="n">
        <v>45984</v>
      </c>
      <c r="B64" s="6" t="n">
        <v>49000</v>
      </c>
      <c r="C64" s="7" t="n">
        <v>49539.56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46940.633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46559.277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43156.926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38254.426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43102.125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</row>
    <row r="65">
      <c r="A65" s="5" t="n">
        <v>45991</v>
      </c>
      <c r="B65" s="6" t="n">
        <v>48600</v>
      </c>
      <c r="C65" s="7" t="n">
        <v>48985.574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46500.273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46074.824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42589.984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38078.188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43495.254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</row>
    <row r="66">
      <c r="A66" s="5" t="n">
        <v>45998</v>
      </c>
      <c r="B66" s="6" t="n">
        <v>46700</v>
      </c>
      <c r="C66" s="7" t="n">
        <v>48642.668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46047.906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46676.484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42658.1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38405.83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44125.188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</row>
    <row r="67">
      <c r="A67" s="5" t="n">
        <v>46005</v>
      </c>
      <c r="B67" s="6" t="n">
        <v>46800</v>
      </c>
      <c r="C67" s="7" t="n">
        <v>46752.254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45663.402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47366.332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42530.832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38672.4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44884.46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</row>
    <row r="68">
      <c r="A68" s="5" t="n">
        <v>46012</v>
      </c>
      <c r="B68" s="6" t="n">
        <v>46800</v>
      </c>
      <c r="C68" s="7" t="n">
        <v>46921.95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45977.805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47691.766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43723.918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39350.14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44684.21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</row>
    <row r="69">
      <c r="A69" s="5" t="n">
        <v>46019</v>
      </c>
      <c r="B69" s="6" t="n">
        <v>48000</v>
      </c>
      <c r="C69" s="7" t="n">
        <v>46934.87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47206.016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49470.527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44607.285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39293.07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45395.406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</row>
    <row r="70">
      <c r="A70" s="5" t="n">
        <v>46026</v>
      </c>
      <c r="B70" s="6" t="n">
        <v>50400</v>
      </c>
      <c r="C70" s="7" t="n">
        <v>48113.492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49382.047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52413.504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45384.082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39964.523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46447.832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</row>
    <row r="71">
      <c r="A71" s="5" t="n">
        <v>46033</v>
      </c>
      <c r="B71" s="6" t="n">
        <v>51400</v>
      </c>
      <c r="C71" s="7" t="n">
        <v>50576.434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51720.332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53315.85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49113.63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43953.746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49904.406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</row>
    <row r="72">
      <c r="A72" s="5" t="n">
        <v>46040</v>
      </c>
      <c r="B72" s="6" t="n">
        <v>52000</v>
      </c>
      <c r="C72" s="7" t="n">
        <v>51515.145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50308.918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54446.3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48949.79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43252.445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48737.582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</row>
    <row r="73">
      <c r="A73" s="5" t="n">
        <v>46047</v>
      </c>
      <c r="B73" s="6" t="n">
        <v>53000</v>
      </c>
      <c r="C73" s="7" t="n">
        <v>52198.92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52535.867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56227.06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49664.566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43687.703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49101.902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</row>
    <row r="74">
      <c r="A74" s="5" t="n">
        <v>46054</v>
      </c>
      <c r="B74" s="6" t="n">
        <v>53400</v>
      </c>
      <c r="C74" s="7" t="n">
        <v>53183.043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53334.81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57625.395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50514.71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43978.523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49695.695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</row>
    <row r="75">
      <c r="A75" s="5" t="n">
        <v>46061</v>
      </c>
      <c r="B75" s="6" t="n">
        <v>55100</v>
      </c>
      <c r="C75" s="7" t="n">
        <v>53474.79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53662.164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58738.953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50670.387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43721.383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49683.02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</row>
    <row r="76">
      <c r="A76" s="5" t="n">
        <v>46068</v>
      </c>
      <c r="B76" s="6" t="n">
        <v>55200</v>
      </c>
      <c r="C76" s="7" t="n">
        <v>54951.387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COUNTIF(G76:G85,1)&amp;"/"&amp;COUNT(G76:G85)</f>
        <v/>
      </c>
      <c r="I76" s="6" t="n">
        <v>53650</v>
      </c>
      <c r="J76" s="7" t="n">
        <v>53704.47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COUNTIF(N76:N85,1)&amp;"/"&amp;COUNT(N76:N85)</f>
        <v/>
      </c>
      <c r="P76" s="6" t="n">
        <v>58900</v>
      </c>
      <c r="Q76" s="7" t="n">
        <v>59028.168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COUNTIF(U76:U85,1)&amp;"/"&amp;COUNT(U76:U85)</f>
        <v/>
      </c>
      <c r="W76" s="6" t="n">
        <v>50000</v>
      </c>
      <c r="X76" s="7" t="n">
        <v>50421.22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COUNTIF(AB76:AB85,1)&amp;"/"&amp;COUNT(AB76:AB85)</f>
        <v/>
      </c>
      <c r="AD76" s="6" t="n">
        <v>45266.67</v>
      </c>
      <c r="AE76" s="7" t="n">
        <v>44506.883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COUNTIF(AI76:AI85,1)&amp;"/"&amp;COUNT(AI76:AI85)</f>
        <v/>
      </c>
      <c r="AK76" s="6" t="n">
        <v>49800</v>
      </c>
      <c r="AL76" s="7" t="n">
        <v>49204.45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COUNTIF(AP76:AP85,1)&amp;"/"&amp;COUNT(AP76:AP85)</f>
        <v/>
      </c>
    </row>
    <row r="77">
      <c r="A77" s="5" t="n">
        <v>46075</v>
      </c>
      <c r="B77" s="6" t="n">
        <v>54600</v>
      </c>
      <c r="C77" s="7" t="n">
        <v>55105.74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53591.402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59394.242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50488.746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45340.715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49840.375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</row>
    <row r="78">
      <c r="A78" s="5" t="n">
        <v>46082</v>
      </c>
      <c r="B78" s="6" t="n">
        <v>54000</v>
      </c>
      <c r="C78" s="7" t="n">
        <v>54484.195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53813.703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59337.742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50069.86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44689.773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49267.746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</row>
    <row r="79">
      <c r="A79" s="5" t="n">
        <v>46089</v>
      </c>
      <c r="B79" s="6" t="n">
        <v>54400</v>
      </c>
      <c r="C79" s="7" t="n">
        <v>53827.75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53696.62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59223.29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49459.81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43819.242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48763.164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</row>
    <row r="80">
      <c r="A80" s="5" t="n">
        <v>46096</v>
      </c>
      <c r="B80" s="6" t="n">
        <v>55600</v>
      </c>
      <c r="C80" s="7" t="n">
        <v>54242.2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54161.754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59809.133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50706.35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45873.086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50446.77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</row>
    <row r="81">
      <c r="A81" s="5" t="n">
        <v>46103</v>
      </c>
      <c r="B81" s="6" t="n">
        <v>56900</v>
      </c>
      <c r="C81" s="7" t="n">
        <v>55538.195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56384.504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60084.082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51390.082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46056.47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50311.09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</row>
    <row r="82">
      <c r="A82" s="5" t="n">
        <v>46110</v>
      </c>
      <c r="B82" s="6" t="n">
        <v>58200</v>
      </c>
      <c r="C82" s="7" t="n">
        <v>56877.203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56963.348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59888.59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50797.438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46010.703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49804.4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</row>
    <row r="83">
      <c r="A83" s="5" t="n">
        <v>46117</v>
      </c>
      <c r="B83" s="6" t="n">
        <v>59100</v>
      </c>
      <c r="C83" s="7" t="n">
        <v>58262.773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57707.78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59840.15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50642.812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45729.504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49451.29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</row>
    <row r="84">
      <c r="A84" s="5" t="n">
        <v>46124</v>
      </c>
      <c r="B84" s="6" t="n">
        <v>59500</v>
      </c>
      <c r="C84" s="7" t="n">
        <v>59341.688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59463.094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60196.223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52537.43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47920.99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51270.63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</row>
    <row r="85">
      <c r="A85" s="5" t="n">
        <v>46131</v>
      </c>
      <c r="B85" s="6" t="n">
        <v>59500</v>
      </c>
      <c r="C85" s="7" t="n">
        <v>59817.816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58528.21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60426.605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53707.133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47630.21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52124.64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</row>
  </sheetData>
  <mergeCells count="49">
    <mergeCell ref="AC40:AC51"/>
    <mergeCell ref="I1:O1"/>
    <mergeCell ref="O52:O63"/>
    <mergeCell ref="H16:H27"/>
    <mergeCell ref="AJ64:AJ75"/>
    <mergeCell ref="V16:V27"/>
    <mergeCell ref="H28:H39"/>
    <mergeCell ref="AC52:AC63"/>
    <mergeCell ref="AJ76:AJ85"/>
    <mergeCell ref="H76:H85"/>
    <mergeCell ref="AQ28:AQ39"/>
    <mergeCell ref="AQ40:AQ51"/>
    <mergeCell ref="AJ4:AJ15"/>
    <mergeCell ref="AJ40:AJ51"/>
    <mergeCell ref="V52:V63"/>
    <mergeCell ref="H4:H15"/>
    <mergeCell ref="AJ16:AJ27"/>
    <mergeCell ref="AJ52:AJ63"/>
    <mergeCell ref="AC16:AC27"/>
    <mergeCell ref="V64:V75"/>
    <mergeCell ref="O28:O39"/>
    <mergeCell ref="V76:V85"/>
    <mergeCell ref="AQ76:AQ85"/>
    <mergeCell ref="V4:V15"/>
    <mergeCell ref="P1:V1"/>
    <mergeCell ref="AC28:AC39"/>
    <mergeCell ref="A1:A3"/>
    <mergeCell ref="AQ16:AQ27"/>
    <mergeCell ref="H64:H75"/>
    <mergeCell ref="AC76:AC85"/>
    <mergeCell ref="V28:V39"/>
    <mergeCell ref="AD1:AJ1"/>
    <mergeCell ref="H40:H51"/>
    <mergeCell ref="W1:AC1"/>
    <mergeCell ref="V40:V51"/>
    <mergeCell ref="O4:O15"/>
    <mergeCell ref="H52:H63"/>
    <mergeCell ref="AQ52:AQ63"/>
    <mergeCell ref="B1:H1"/>
    <mergeCell ref="AC64:AC75"/>
    <mergeCell ref="AC4:AC15"/>
    <mergeCell ref="O16:O27"/>
    <mergeCell ref="AQ4:AQ15"/>
    <mergeCell ref="AQ64:AQ75"/>
    <mergeCell ref="O64:O75"/>
    <mergeCell ref="AJ28:AJ39"/>
    <mergeCell ref="O40:O51"/>
    <mergeCell ref="AK1:AQ1"/>
    <mergeCell ref="O76:O8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8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</row>
    <row r="3">
      <c r="D3" s="4">
        <f>AVERAGE(D4:D85)</f>
        <v/>
      </c>
      <c r="E3" s="4">
        <f>AVERAGE(E4:E85)</f>
        <v/>
      </c>
      <c r="F3" s="4">
        <f>AVERAGE(F4:F85)</f>
        <v/>
      </c>
      <c r="G3" s="4">
        <f>AVERAGE(G4:G85)</f>
        <v/>
      </c>
      <c r="K3" s="4">
        <f>AVERAGE(K4:K85)</f>
        <v/>
      </c>
      <c r="L3" s="4">
        <f>AVERAGE(L4:L85)</f>
        <v/>
      </c>
      <c r="M3" s="4">
        <f>AVERAGE(M4:M85)</f>
        <v/>
      </c>
      <c r="N3" s="4">
        <f>AVERAGE(N4:N85)</f>
        <v/>
      </c>
      <c r="R3" s="4">
        <f>AVERAGE(R4:R85)</f>
        <v/>
      </c>
      <c r="S3" s="4">
        <f>AVERAGE(S4:S85)</f>
        <v/>
      </c>
      <c r="T3" s="4">
        <f>AVERAGE(T4:T85)</f>
        <v/>
      </c>
      <c r="U3" s="4">
        <f>AVERAGE(U4:U85)</f>
        <v/>
      </c>
      <c r="Y3" s="4">
        <f>AVERAGE(Y4:Y85)</f>
        <v/>
      </c>
      <c r="Z3" s="4">
        <f>AVERAGE(Z4:Z85)</f>
        <v/>
      </c>
      <c r="AA3" s="4">
        <f>AVERAGE(AA4:AA85)</f>
        <v/>
      </c>
      <c r="AB3" s="4">
        <f>AVERAGE(AB4:AB85)</f>
        <v/>
      </c>
      <c r="AF3" s="4">
        <f>AVERAGE(AF4:AF85)</f>
        <v/>
      </c>
      <c r="AG3" s="4">
        <f>AVERAGE(AG4:AG85)</f>
        <v/>
      </c>
      <c r="AH3" s="4">
        <f>AVERAGE(AH4:AH85)</f>
        <v/>
      </c>
      <c r="AI3" s="4">
        <f>AVERAGE(AI4:AI85)</f>
        <v/>
      </c>
      <c r="AM3" s="4">
        <f>AVERAGE(AM4:AM85)</f>
        <v/>
      </c>
      <c r="AN3" s="4">
        <f>AVERAGE(AN4:AN85)</f>
        <v/>
      </c>
      <c r="AO3" s="4">
        <f>AVERAGE(AO4:AO85)</f>
        <v/>
      </c>
      <c r="AP3" s="4">
        <f>AVERAGE(AP4:AP85)</f>
        <v/>
      </c>
    </row>
    <row r="4">
      <c r="A4" s="5" t="n">
        <v>45564</v>
      </c>
      <c r="B4" s="6" t="n">
        <v>49000</v>
      </c>
      <c r="C4" s="7" t="n">
        <v>50225.715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46482.027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50280.742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44882.613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40983.54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46755.33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</row>
    <row r="5">
      <c r="A5" s="5" t="n">
        <v>45571</v>
      </c>
      <c r="B5" s="6" t="n">
        <v>49000</v>
      </c>
      <c r="C5" s="7" t="n">
        <v>49631.42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46891.09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50917.863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46102.016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43057.438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48131.836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</row>
    <row r="6">
      <c r="A6" s="5" t="n">
        <v>45578</v>
      </c>
      <c r="B6" s="6" t="n">
        <v>49200</v>
      </c>
      <c r="C6" s="7" t="n">
        <v>50333.316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47879.062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52491.15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48262.973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44901.05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49602.043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</row>
    <row r="7">
      <c r="A7" s="5" t="n">
        <v>45585</v>
      </c>
      <c r="B7" s="6" t="n">
        <v>49200</v>
      </c>
      <c r="C7" s="7" t="n">
        <v>51079.543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48660.71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53341.73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49747.22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45017.508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49954.625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</row>
    <row r="8">
      <c r="A8" s="5" t="n">
        <v>45592</v>
      </c>
      <c r="B8" s="6" t="n">
        <v>49200</v>
      </c>
      <c r="C8" s="7" t="n">
        <v>50103.773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48761.09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54304.637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49014.04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44098.336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49776.156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</row>
    <row r="9">
      <c r="A9" s="5" t="n">
        <v>45599</v>
      </c>
      <c r="B9" s="6" t="n">
        <v>49200</v>
      </c>
      <c r="C9" s="7" t="n">
        <v>48855.03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48122.715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54774.04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47856.695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42877.766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49045.34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</row>
    <row r="10">
      <c r="A10" s="5" t="n">
        <v>45606</v>
      </c>
      <c r="B10" s="6" t="n">
        <v>49000</v>
      </c>
      <c r="C10" s="7" t="n">
        <v>48664.59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47848.383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55485.145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47410.38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42650.773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48631.574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</row>
    <row r="11">
      <c r="A11" s="5" t="n">
        <v>45613</v>
      </c>
      <c r="B11" s="6" t="n">
        <v>49000</v>
      </c>
      <c r="C11" s="7" t="n">
        <v>48602.74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48256.414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55305.164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47416.594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43243.824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48764.723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</row>
    <row r="12">
      <c r="A12" s="5" t="n">
        <v>45620</v>
      </c>
      <c r="B12" s="6" t="n">
        <v>49000</v>
      </c>
      <c r="C12" s="7" t="n">
        <v>48455.625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48067.703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54505.25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48079.973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43336.293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48786.6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</row>
    <row r="13">
      <c r="A13" s="5" t="n">
        <v>45627</v>
      </c>
      <c r="B13" s="6" t="n">
        <v>48500</v>
      </c>
      <c r="C13" s="7" t="n">
        <v>48647.215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48142.3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54208.453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47955.926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42447.49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48257.332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</row>
    <row r="14">
      <c r="A14" s="5" t="n">
        <v>45634</v>
      </c>
      <c r="B14" s="6" t="n">
        <v>48200</v>
      </c>
      <c r="C14" s="7" t="n">
        <v>48371.367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47902.68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53949.24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47466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41242.453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47669.57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</row>
    <row r="15">
      <c r="A15" s="5" t="n">
        <v>45641</v>
      </c>
      <c r="B15" s="6" t="n">
        <v>48200</v>
      </c>
      <c r="C15" s="7" t="n">
        <v>48008.3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46833.324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52853.94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47317.707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41553.582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47204.363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</row>
    <row r="16">
      <c r="A16" s="5" t="n">
        <v>45648</v>
      </c>
      <c r="B16" s="6" t="n">
        <v>48200</v>
      </c>
      <c r="C16" s="7" t="n">
        <v>48013.19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46642.047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51966.56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46637.094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41762.203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47519.43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</row>
    <row r="17">
      <c r="A17" s="5" t="n">
        <v>45655</v>
      </c>
      <c r="B17" s="6" t="n">
        <v>48100</v>
      </c>
      <c r="C17" s="7" t="n">
        <v>47888.973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46382.957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51597.996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46269.312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40992.504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47820.844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</row>
    <row r="18">
      <c r="A18" s="5" t="n">
        <v>45662</v>
      </c>
      <c r="B18" s="6" t="n">
        <v>48100</v>
      </c>
      <c r="C18" s="7" t="n">
        <v>47905.01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46697.68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52175.777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47136.5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42478.117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47774.05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</row>
    <row r="19">
      <c r="A19" s="5" t="n">
        <v>45669</v>
      </c>
      <c r="B19" s="6" t="n">
        <v>48200</v>
      </c>
      <c r="C19" s="7" t="n">
        <v>48231.633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46387.01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52463.176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47616.125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42838.79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48468.15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</row>
    <row r="20">
      <c r="A20" s="5" t="n">
        <v>45676</v>
      </c>
      <c r="B20" s="6" t="n">
        <v>48500</v>
      </c>
      <c r="C20" s="7" t="n">
        <v>48571.625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46447.918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52241.76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47868.49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43097.207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47675.773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</row>
    <row r="21">
      <c r="A21" s="5" t="n">
        <v>45683</v>
      </c>
      <c r="B21" s="6" t="n">
        <v>48400</v>
      </c>
      <c r="C21" s="7" t="n">
        <v>48945.44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46364.793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52424.297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47579.504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42122.438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47255.34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</row>
    <row r="22">
      <c r="A22" s="5" t="n">
        <v>45690</v>
      </c>
      <c r="B22" s="6" t="n">
        <v>48600</v>
      </c>
      <c r="C22" s="7" t="n">
        <v>48750.598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46929.758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52947.23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47433.605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41738.707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46781.79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</row>
    <row r="23">
      <c r="A23" s="5" t="n">
        <v>45697</v>
      </c>
      <c r="B23" s="6" t="n">
        <v>49000</v>
      </c>
      <c r="C23" s="7" t="n">
        <v>48986.71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48329.727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54086.82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47128.656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41627.54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47974.207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</row>
    <row r="24">
      <c r="A24" s="5" t="n">
        <v>45704</v>
      </c>
      <c r="B24" s="6" t="n">
        <v>49000</v>
      </c>
      <c r="C24" s="7" t="n">
        <v>49253.67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49077.668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54754.082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47125.004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42044.273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47356.324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</row>
    <row r="25">
      <c r="A25" s="5" t="n">
        <v>45711</v>
      </c>
      <c r="B25" s="6" t="n">
        <v>49000</v>
      </c>
      <c r="C25" s="7" t="n">
        <v>49054.43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48286.7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54518.07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46742.9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41718.18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47788.258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</row>
    <row r="26">
      <c r="A26" s="5" t="n">
        <v>45718</v>
      </c>
      <c r="B26" s="6" t="n">
        <v>49000</v>
      </c>
      <c r="C26" s="7" t="n">
        <v>49065.824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48555.81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54550.918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47381.023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42641.91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47693.598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</row>
    <row r="27">
      <c r="A27" s="5" t="n">
        <v>45725</v>
      </c>
      <c r="B27" s="6" t="n">
        <v>49000</v>
      </c>
      <c r="C27" s="7" t="n">
        <v>49257.277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48531.758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55684.586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48105.055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42126.574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47798.6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</row>
    <row r="28">
      <c r="A28" s="5" t="n">
        <v>45732</v>
      </c>
      <c r="B28" s="6" t="n">
        <v>49500</v>
      </c>
      <c r="C28" s="7" t="n">
        <v>49503.38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48816.03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55473.867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48937.098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42965.266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47128.004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</row>
    <row r="29">
      <c r="A29" s="5" t="n">
        <v>45739</v>
      </c>
      <c r="B29" s="6" t="n">
        <v>49600</v>
      </c>
      <c r="C29" s="7" t="n">
        <v>49947.23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49777.574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55996.22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49142.016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42904.125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47289.2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</row>
    <row r="30">
      <c r="A30" s="5" t="n">
        <v>45746</v>
      </c>
      <c r="B30" s="6" t="n">
        <v>51500</v>
      </c>
      <c r="C30" s="7" t="n">
        <v>49929.11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50932.57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56483.594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49403.055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43140.867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48780.52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</row>
    <row r="31">
      <c r="A31" s="5" t="n">
        <v>45753</v>
      </c>
      <c r="B31" s="6" t="n">
        <v>52000</v>
      </c>
      <c r="C31" s="7" t="n">
        <v>51751.324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52862.164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56942.03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49430.26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44440.594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49372.312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</row>
    <row r="32">
      <c r="A32" s="5" t="n">
        <v>45760</v>
      </c>
      <c r="B32" s="6" t="n">
        <v>51500</v>
      </c>
      <c r="C32" s="7" t="n">
        <v>52338.613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52500.19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57042.266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49462.973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45143.965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49991.785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</row>
    <row r="33">
      <c r="A33" s="5" t="n">
        <v>45767</v>
      </c>
      <c r="B33" s="6" t="n">
        <v>51500</v>
      </c>
      <c r="C33" s="7" t="n">
        <v>51850.688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51589.56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57221.613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49646.64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46148.227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49955.156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</row>
    <row r="34">
      <c r="A34" s="5" t="n">
        <v>45774</v>
      </c>
      <c r="B34" s="6" t="n">
        <v>52500</v>
      </c>
      <c r="C34" s="7" t="n">
        <v>51863.727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51282.87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57371.664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49351.473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45838.33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50010.758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</row>
    <row r="35">
      <c r="A35" s="5" t="n">
        <v>45781</v>
      </c>
      <c r="B35" s="6" t="n">
        <v>53000</v>
      </c>
      <c r="C35" s="7" t="n">
        <v>52897.13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52366.355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57516.035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49260.836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45882.543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49659.402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</row>
    <row r="36">
      <c r="A36" s="5" t="n">
        <v>45788</v>
      </c>
      <c r="B36" s="6" t="n">
        <v>53000</v>
      </c>
      <c r="C36" s="7" t="n">
        <v>53452.29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53011.582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57108.895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49824.305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46160.844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49588.934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</row>
    <row r="37">
      <c r="A37" s="5" t="n">
        <v>45795</v>
      </c>
      <c r="B37" s="6" t="n">
        <v>53300</v>
      </c>
      <c r="C37" s="7" t="n">
        <v>53455.223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52165.168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56709.99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49674.348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45515.133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49251.598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</row>
    <row r="38">
      <c r="A38" s="5" t="n">
        <v>45802</v>
      </c>
      <c r="B38" s="6" t="n">
        <v>52800</v>
      </c>
      <c r="C38" s="7" t="n">
        <v>53884.43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51579.71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56234.14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48791.74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44576.84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48617.34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</row>
    <row r="39">
      <c r="A39" s="5" t="n">
        <v>45809</v>
      </c>
      <c r="B39" s="6" t="n">
        <v>52000</v>
      </c>
      <c r="C39" s="7" t="n">
        <v>53291.46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51662.7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55877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48312.016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43695.19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47696.34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</row>
    <row r="40">
      <c r="A40" s="5" t="n">
        <v>45816</v>
      </c>
      <c r="B40" s="6" t="n">
        <v>52000</v>
      </c>
      <c r="C40" s="7" t="n">
        <v>52524.215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51361.543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54878.08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47897.66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43105.543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47340.273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</row>
    <row r="41">
      <c r="A41" s="5" t="n">
        <v>45823</v>
      </c>
      <c r="B41" s="6" t="n">
        <v>52000</v>
      </c>
      <c r="C41" s="7" t="n">
        <v>52139.05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51469.65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53653.45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46774.746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42486.66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47208.32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</row>
    <row r="42">
      <c r="A42" s="5" t="n">
        <v>45830</v>
      </c>
      <c r="B42" s="6" t="n">
        <v>52000</v>
      </c>
      <c r="C42" s="7" t="n">
        <v>51653.15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51246.324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52303.906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46116.83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42467.09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46543.99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</row>
    <row r="43">
      <c r="A43" s="5" t="n">
        <v>45837</v>
      </c>
      <c r="B43" s="6" t="n">
        <v>51900</v>
      </c>
      <c r="C43" s="7" t="n">
        <v>51392.938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50644.113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51065.246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45505.555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42233.164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46210.33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</row>
    <row r="44">
      <c r="A44" s="5" t="n">
        <v>45844</v>
      </c>
      <c r="B44" s="6" t="n">
        <v>51600</v>
      </c>
      <c r="C44" s="7" t="n">
        <v>51491.605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50932.895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49993.074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44928.664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41605.945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45760.926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</row>
    <row r="45">
      <c r="A45" s="5" t="n">
        <v>45851</v>
      </c>
      <c r="B45" s="6" t="n">
        <v>51000</v>
      </c>
      <c r="C45" s="7" t="n">
        <v>51378.902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50119.316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48828.31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44312.74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40836.086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45268.254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</row>
    <row r="46">
      <c r="A46" s="5" t="n">
        <v>45858</v>
      </c>
      <c r="B46" s="6" t="n">
        <v>50500</v>
      </c>
      <c r="C46" s="7" t="n">
        <v>50981.453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49191.52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47794.43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43463.695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39663.766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44875.75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</row>
    <row r="47">
      <c r="A47" s="5" t="n">
        <v>45865</v>
      </c>
      <c r="B47" s="6" t="n">
        <v>50000</v>
      </c>
      <c r="C47" s="7" t="n">
        <v>50656.312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49206.582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46840.29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42913.074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39517.152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44571.902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</row>
    <row r="48">
      <c r="A48" s="5" t="n">
        <v>45872</v>
      </c>
      <c r="B48" s="6" t="n">
        <v>50000</v>
      </c>
      <c r="C48" s="7" t="n">
        <v>50177.816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48501.56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47392.45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42821.19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38963.242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45406.22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</row>
    <row r="49">
      <c r="A49" s="5" t="n">
        <v>45879</v>
      </c>
      <c r="B49" s="6" t="n">
        <v>50300</v>
      </c>
      <c r="C49" s="7" t="n">
        <v>49955.58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49629.723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48433.414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42945.875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40050.293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45740.043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</row>
    <row r="50">
      <c r="A50" s="5" t="n">
        <v>45886</v>
      </c>
      <c r="B50" s="6" t="n">
        <v>50500</v>
      </c>
      <c r="C50" s="7" t="n">
        <v>50292.37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51237.246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48177.58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44076.43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40447.336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45688.81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</row>
    <row r="51">
      <c r="A51" s="5" t="n">
        <v>45893</v>
      </c>
      <c r="B51" s="6" t="n">
        <v>50500</v>
      </c>
      <c r="C51" s="7" t="n">
        <v>50538.965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50053.637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47690.14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45500.81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40160.48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45281.504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</row>
    <row r="52">
      <c r="A52" s="5" t="n">
        <v>45900</v>
      </c>
      <c r="B52" s="6" t="n">
        <v>50700</v>
      </c>
      <c r="C52" s="7" t="n">
        <v>50251.547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49821.7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47585.074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45682.934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39388.684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45132.617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</row>
    <row r="53">
      <c r="A53" s="5" t="n">
        <v>45907</v>
      </c>
      <c r="B53" s="6" t="n">
        <v>50800</v>
      </c>
      <c r="C53" s="7" t="n">
        <v>50568.152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49562.605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47634.66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45143.117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40187.746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44908.26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</row>
    <row r="54">
      <c r="A54" s="5" t="n">
        <v>45914</v>
      </c>
      <c r="B54" s="6" t="n">
        <v>50500</v>
      </c>
      <c r="C54" s="7" t="n">
        <v>50777.5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49425.25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47588.992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44310.812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40087.402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45158.11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</row>
    <row r="55">
      <c r="A55" s="5" t="n">
        <v>45921</v>
      </c>
      <c r="B55" s="6" t="n">
        <v>50000</v>
      </c>
      <c r="C55" s="7" t="n">
        <v>50844.64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49313.168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47405.09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44344.562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40038.1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45661.215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</row>
    <row r="56">
      <c r="A56" s="5" t="n">
        <v>45928</v>
      </c>
      <c r="B56" s="6" t="n">
        <v>50000</v>
      </c>
      <c r="C56" s="7" t="n">
        <v>50462.566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49059.094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47352.77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44198.883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40307.59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45591.95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</row>
    <row r="57">
      <c r="A57" s="5" t="n">
        <v>45935</v>
      </c>
      <c r="B57" s="6" t="n">
        <v>50000</v>
      </c>
      <c r="C57" s="7" t="n">
        <v>50207.54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49241.074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47894.992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44544.38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40104.43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45797.51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</row>
    <row r="58">
      <c r="A58" s="5" t="n">
        <v>45942</v>
      </c>
      <c r="B58" s="6" t="n">
        <v>49800</v>
      </c>
      <c r="C58" s="7" t="n">
        <v>49966.4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48327.418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47738.547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43998.105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40259.21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45287.324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</row>
    <row r="59">
      <c r="A59" s="5" t="n">
        <v>45949</v>
      </c>
      <c r="B59" s="6" t="n">
        <v>49000</v>
      </c>
      <c r="C59" s="7" t="n">
        <v>49867.43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47907.42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47438.016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43496.46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39848.555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44906.617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</row>
    <row r="60">
      <c r="A60" s="5" t="n">
        <v>45956</v>
      </c>
      <c r="B60" s="6" t="n">
        <v>49000</v>
      </c>
      <c r="C60" s="7" t="n">
        <v>49261.77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47576.363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47409.19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43526.355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39061.81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44265.684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</row>
    <row r="61">
      <c r="A61" s="5" t="n">
        <v>45963</v>
      </c>
      <c r="B61" s="6" t="n">
        <v>49000</v>
      </c>
      <c r="C61" s="7" t="n">
        <v>49233.004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47577.79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47906.312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43479.125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38406.625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43521.09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</row>
    <row r="62">
      <c r="A62" s="5" t="n">
        <v>45970</v>
      </c>
      <c r="B62" s="6" t="n">
        <v>49600</v>
      </c>
      <c r="C62" s="7" t="n">
        <v>49064.066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47048.484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48352.207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42790.19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37839.582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43448.668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</row>
    <row r="63">
      <c r="A63" s="5" t="n">
        <v>45977</v>
      </c>
      <c r="B63" s="6" t="n">
        <v>49600</v>
      </c>
      <c r="C63" s="7" t="n">
        <v>49537.67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47811.285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47839.664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42721.652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37768.79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43107.17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</row>
    <row r="64">
      <c r="A64" s="5" t="n">
        <v>45984</v>
      </c>
      <c r="B64" s="6" t="n">
        <v>49000</v>
      </c>
      <c r="C64" s="7" t="n">
        <v>49491.17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46923.023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46807.902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43334.246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37850.895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42954.69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</row>
    <row r="65">
      <c r="A65" s="5" t="n">
        <v>45991</v>
      </c>
      <c r="B65" s="6" t="n">
        <v>48600</v>
      </c>
      <c r="C65" s="7" t="n">
        <v>48895.645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46349.156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46367.168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42751.406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37813.477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43211.65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</row>
    <row r="66">
      <c r="A66" s="5" t="n">
        <v>45998</v>
      </c>
      <c r="B66" s="6" t="n">
        <v>46700</v>
      </c>
      <c r="C66" s="7" t="n">
        <v>48577.844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45688.836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46751.504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42562.48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38273.74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43669.816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</row>
    <row r="67">
      <c r="A67" s="5" t="n">
        <v>46005</v>
      </c>
      <c r="B67" s="6" t="n">
        <v>46800</v>
      </c>
      <c r="C67" s="7" t="n">
        <v>46553.42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45540.465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46898.72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42419.76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38718.87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44186.12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</row>
    <row r="68">
      <c r="A68" s="5" t="n">
        <v>46012</v>
      </c>
      <c r="B68" s="6" t="n">
        <v>46800</v>
      </c>
      <c r="C68" s="7" t="n">
        <v>46473.77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45674.324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46705.094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43515.562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39326.906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43864.56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</row>
    <row r="69">
      <c r="A69" s="5" t="n">
        <v>46019</v>
      </c>
      <c r="B69" s="6" t="n">
        <v>48000</v>
      </c>
      <c r="C69" s="7" t="n">
        <v>46348.7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47242.547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48224.824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44332.914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39385.605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44440.78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</row>
    <row r="70">
      <c r="A70" s="5" t="n">
        <v>46026</v>
      </c>
      <c r="B70" s="6" t="n">
        <v>50400</v>
      </c>
      <c r="C70" s="7" t="n">
        <v>47537.668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49286.082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51379.31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45206.844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39682.004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45417.707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</row>
    <row r="71">
      <c r="A71" s="5" t="n">
        <v>46033</v>
      </c>
      <c r="B71" s="6" t="n">
        <v>51400</v>
      </c>
      <c r="C71" s="7" t="n">
        <v>49985.7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51139.637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52482.03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48961.816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43201.266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48544.71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</row>
    <row r="72">
      <c r="A72" s="5" t="n">
        <v>46040</v>
      </c>
      <c r="B72" s="6" t="n">
        <v>52000</v>
      </c>
      <c r="C72" s="7" t="n">
        <v>50926.938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51142.613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54249.07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49177.84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43211.35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48186.28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</row>
    <row r="73">
      <c r="A73" s="5" t="n">
        <v>46047</v>
      </c>
      <c r="B73" s="6" t="n">
        <v>53000</v>
      </c>
      <c r="C73" s="7" t="n">
        <v>51934.312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52501.73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56487.363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49438.69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43019.85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48652.36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</row>
    <row r="74">
      <c r="A74" s="5" t="n">
        <v>46054</v>
      </c>
      <c r="B74" s="6" t="n">
        <v>53400</v>
      </c>
      <c r="C74" s="7" t="n">
        <v>53370.242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52724.453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57615.375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50192.16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43812.23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49244.082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</row>
    <row r="75">
      <c r="A75" s="5" t="n">
        <v>46061</v>
      </c>
      <c r="B75" s="6" t="n">
        <v>55100</v>
      </c>
      <c r="C75" s="7" t="n">
        <v>53445.016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53609.766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58379.29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50576.965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44420.984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49209.11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</row>
    <row r="76">
      <c r="A76" s="5" t="n">
        <v>46068</v>
      </c>
      <c r="B76" s="6" t="n">
        <v>55200</v>
      </c>
      <c r="C76" s="7" t="n">
        <v>55563.45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COUNTIF(G76:G85,1)&amp;"/"&amp;COUNT(G76:G85)</f>
        <v/>
      </c>
      <c r="I76" s="6" t="n">
        <v>53650</v>
      </c>
      <c r="J76" s="7" t="n">
        <v>54188.344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COUNTIF(N76:N85,1)&amp;"/"&amp;COUNT(N76:N85)</f>
        <v/>
      </c>
      <c r="P76" s="6" t="n">
        <v>58900</v>
      </c>
      <c r="Q76" s="7" t="n">
        <v>59654.336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COUNTIF(U76:U85,1)&amp;"/"&amp;COUNT(U76:U85)</f>
        <v/>
      </c>
      <c r="W76" s="6" t="n">
        <v>50000</v>
      </c>
      <c r="X76" s="7" t="n">
        <v>50532.9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COUNTIF(AB76:AB85,1)&amp;"/"&amp;COUNT(AB76:AB85)</f>
        <v/>
      </c>
      <c r="AD76" s="6" t="n">
        <v>45266.67</v>
      </c>
      <c r="AE76" s="7" t="n">
        <v>44487.61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COUNTIF(AI76:AI85,1)&amp;"/"&amp;COUNT(AI76:AI85)</f>
        <v/>
      </c>
      <c r="AK76" s="6" t="n">
        <v>49800</v>
      </c>
      <c r="AL76" s="7" t="n">
        <v>48862.96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COUNTIF(AP76:AP85,1)&amp;"/"&amp;COUNT(AP76:AP85)</f>
        <v/>
      </c>
    </row>
    <row r="77">
      <c r="A77" s="5" t="n">
        <v>46075</v>
      </c>
      <c r="B77" s="6" t="n">
        <v>54600</v>
      </c>
      <c r="C77" s="7" t="n">
        <v>55809.973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53794.707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60197.387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50411.574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45431.63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49861.88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</row>
    <row r="78">
      <c r="A78" s="5" t="n">
        <v>46082</v>
      </c>
      <c r="B78" s="6" t="n">
        <v>54000</v>
      </c>
      <c r="C78" s="7" t="n">
        <v>55552.156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54012.688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60217.297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50272.5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44815.72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49016.094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</row>
    <row r="79">
      <c r="A79" s="5" t="n">
        <v>46089</v>
      </c>
      <c r="B79" s="6" t="n">
        <v>54400</v>
      </c>
      <c r="C79" s="7" t="n">
        <v>54774.652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53688.008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60003.14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49477.016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43391.79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48285.535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</row>
    <row r="80">
      <c r="A80" s="5" t="n">
        <v>46096</v>
      </c>
      <c r="B80" s="6" t="n">
        <v>55600</v>
      </c>
      <c r="C80" s="7" t="n">
        <v>54741.574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54529.15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60470.43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50059.785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44869.33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49714.2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</row>
    <row r="81">
      <c r="A81" s="5" t="n">
        <v>46103</v>
      </c>
      <c r="B81" s="6" t="n">
        <v>56900</v>
      </c>
      <c r="C81" s="7" t="n">
        <v>55559.98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56336.844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60730.594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50411.863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46258.92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49701.273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</row>
    <row r="82">
      <c r="A82" s="5" t="n">
        <v>46110</v>
      </c>
      <c r="B82" s="6" t="n">
        <v>58200</v>
      </c>
      <c r="C82" s="7" t="n">
        <v>57079.42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56919.21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60898.258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50249.703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46294.816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49647.906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</row>
    <row r="83">
      <c r="A83" s="5" t="n">
        <v>46117</v>
      </c>
      <c r="B83" s="6" t="n">
        <v>59100</v>
      </c>
      <c r="C83" s="7" t="n">
        <v>58110.375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58200.12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60624.062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50589.035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45444.89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49499.242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</row>
    <row r="84">
      <c r="A84" s="5" t="n">
        <v>46124</v>
      </c>
      <c r="B84" s="6" t="n">
        <v>59500</v>
      </c>
      <c r="C84" s="7" t="n">
        <v>58877.25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60401.77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60644.93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52563.836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47826.46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51457.35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</row>
    <row r="85">
      <c r="A85" s="5" t="n">
        <v>46131</v>
      </c>
      <c r="B85" s="6" t="n">
        <v>59500</v>
      </c>
      <c r="C85" s="7" t="n">
        <v>59320.92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59933.49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61053.344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53752.152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49012.344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53095.93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</row>
  </sheetData>
  <mergeCells count="49">
    <mergeCell ref="AC40:AC51"/>
    <mergeCell ref="I1:O1"/>
    <mergeCell ref="O52:O63"/>
    <mergeCell ref="H16:H27"/>
    <mergeCell ref="AJ64:AJ75"/>
    <mergeCell ref="V16:V27"/>
    <mergeCell ref="H28:H39"/>
    <mergeCell ref="AC52:AC63"/>
    <mergeCell ref="AJ76:AJ85"/>
    <mergeCell ref="H76:H85"/>
    <mergeCell ref="AQ28:AQ39"/>
    <mergeCell ref="AQ40:AQ51"/>
    <mergeCell ref="AJ4:AJ15"/>
    <mergeCell ref="AJ40:AJ51"/>
    <mergeCell ref="V52:V63"/>
    <mergeCell ref="H4:H15"/>
    <mergeCell ref="AJ16:AJ27"/>
    <mergeCell ref="AJ52:AJ63"/>
    <mergeCell ref="AC16:AC27"/>
    <mergeCell ref="V64:V75"/>
    <mergeCell ref="O28:O39"/>
    <mergeCell ref="V76:V85"/>
    <mergeCell ref="AQ76:AQ85"/>
    <mergeCell ref="V4:V15"/>
    <mergeCell ref="P1:V1"/>
    <mergeCell ref="AC28:AC39"/>
    <mergeCell ref="A1:A3"/>
    <mergeCell ref="AQ16:AQ27"/>
    <mergeCell ref="H64:H75"/>
    <mergeCell ref="AC76:AC85"/>
    <mergeCell ref="V28:V39"/>
    <mergeCell ref="AD1:AJ1"/>
    <mergeCell ref="H40:H51"/>
    <mergeCell ref="W1:AC1"/>
    <mergeCell ref="V40:V51"/>
    <mergeCell ref="O4:O15"/>
    <mergeCell ref="H52:H63"/>
    <mergeCell ref="AQ52:AQ63"/>
    <mergeCell ref="B1:H1"/>
    <mergeCell ref="AC64:AC75"/>
    <mergeCell ref="AC4:AC15"/>
    <mergeCell ref="O16:O27"/>
    <mergeCell ref="AQ4:AQ15"/>
    <mergeCell ref="AQ64:AQ75"/>
    <mergeCell ref="O64:O75"/>
    <mergeCell ref="AJ28:AJ39"/>
    <mergeCell ref="O40:O51"/>
    <mergeCell ref="AK1:AQ1"/>
    <mergeCell ref="O76:O8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</row>
    <row r="3">
      <c r="D3" s="4">
        <f>AVERAGE(D4:D85)</f>
        <v/>
      </c>
      <c r="E3" s="4">
        <f>AVERAGE(E4:E85)</f>
        <v/>
      </c>
      <c r="F3" s="4">
        <f>AVERAGE(F4:F85)</f>
        <v/>
      </c>
      <c r="G3" s="4">
        <f>AVERAGE(G4:G85)</f>
        <v/>
      </c>
      <c r="K3" s="4">
        <f>AVERAGE(K4:K85)</f>
        <v/>
      </c>
      <c r="L3" s="4">
        <f>AVERAGE(L4:L85)</f>
        <v/>
      </c>
      <c r="M3" s="4">
        <f>AVERAGE(M4:M85)</f>
        <v/>
      </c>
      <c r="N3" s="4">
        <f>AVERAGE(N4:N85)</f>
        <v/>
      </c>
      <c r="R3" s="4">
        <f>AVERAGE(R4:R85)</f>
        <v/>
      </c>
      <c r="S3" s="4">
        <f>AVERAGE(S4:S85)</f>
        <v/>
      </c>
      <c r="T3" s="4">
        <f>AVERAGE(T4:T85)</f>
        <v/>
      </c>
      <c r="U3" s="4">
        <f>AVERAGE(U4:U85)</f>
        <v/>
      </c>
      <c r="Y3" s="4">
        <f>AVERAGE(Y4:Y85)</f>
        <v/>
      </c>
      <c r="Z3" s="4">
        <f>AVERAGE(Z4:Z85)</f>
        <v/>
      </c>
      <c r="AA3" s="4">
        <f>AVERAGE(AA4:AA85)</f>
        <v/>
      </c>
      <c r="AB3" s="4">
        <f>AVERAGE(AB4:AB85)</f>
        <v/>
      </c>
      <c r="AF3" s="4">
        <f>AVERAGE(AF4:AF85)</f>
        <v/>
      </c>
      <c r="AG3" s="4">
        <f>AVERAGE(AG4:AG85)</f>
        <v/>
      </c>
      <c r="AH3" s="4">
        <f>AVERAGE(AH4:AH85)</f>
        <v/>
      </c>
      <c r="AI3" s="4">
        <f>AVERAGE(AI4:AI85)</f>
        <v/>
      </c>
      <c r="AM3" s="4">
        <f>AVERAGE(AM4:AM85)</f>
        <v/>
      </c>
      <c r="AN3" s="4">
        <f>AVERAGE(AN4:AN85)</f>
        <v/>
      </c>
      <c r="AO3" s="4">
        <f>AVERAGE(AO4:AO85)</f>
        <v/>
      </c>
      <c r="AP3" s="4">
        <f>AVERAGE(AP4:AP85)</f>
        <v/>
      </c>
    </row>
    <row r="4">
      <c r="A4" s="5" t="n">
        <v>45564</v>
      </c>
      <c r="B4" s="6" t="n">
        <v>49000</v>
      </c>
      <c r="C4" s="7" t="n">
        <v>50346.57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45966.87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49702.8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45128.926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41047.086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46798.305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</row>
    <row r="5">
      <c r="A5" s="5" t="n">
        <v>45571</v>
      </c>
      <c r="B5" s="6" t="n">
        <v>49000</v>
      </c>
      <c r="C5" s="7" t="n">
        <v>49114.266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47074.95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50423.152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46177.137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43398.645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48385.684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</row>
    <row r="6">
      <c r="A6" s="5" t="n">
        <v>45578</v>
      </c>
      <c r="B6" s="6" t="n">
        <v>49200</v>
      </c>
      <c r="C6" s="7" t="n">
        <v>49245.23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48139.23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52473.66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47963.996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44958.27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49926.758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</row>
    <row r="7">
      <c r="A7" s="5" t="n">
        <v>45585</v>
      </c>
      <c r="B7" s="6" t="n">
        <v>49200</v>
      </c>
      <c r="C7" s="7" t="n">
        <v>49553.46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48951.82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53756.367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49229.145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44854.957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49995.336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</row>
    <row r="8">
      <c r="A8" s="5" t="n">
        <v>45592</v>
      </c>
      <c r="B8" s="6" t="n">
        <v>49200</v>
      </c>
      <c r="C8" s="7" t="n">
        <v>49562.375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48760.56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54733.69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48404.457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43922.03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49681.06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</row>
    <row r="9">
      <c r="A9" s="5" t="n">
        <v>45599</v>
      </c>
      <c r="B9" s="6" t="n">
        <v>49200</v>
      </c>
      <c r="C9" s="7" t="n">
        <v>49548.605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48087.43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54615.25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47505.555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42166.137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48770.812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</row>
    <row r="10">
      <c r="A10" s="5" t="n">
        <v>45606</v>
      </c>
      <c r="B10" s="6" t="n">
        <v>49000</v>
      </c>
      <c r="C10" s="7" t="n">
        <v>49452.95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47775.992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55013.336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47268.77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42036.01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48329.297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</row>
    <row r="11">
      <c r="A11" s="5" t="n">
        <v>45613</v>
      </c>
      <c r="B11" s="6" t="n">
        <v>49000</v>
      </c>
      <c r="C11" s="7" t="n">
        <v>49289.35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48312.492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54764.03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47450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42910.98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48401.344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</row>
    <row r="12">
      <c r="A12" s="5" t="n">
        <v>45620</v>
      </c>
      <c r="B12" s="6" t="n">
        <v>49000</v>
      </c>
      <c r="C12" s="7" t="n">
        <v>49294.945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47883.08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54064.953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47927.992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43301.617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48569.652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</row>
    <row r="13">
      <c r="A13" s="5" t="n">
        <v>45627</v>
      </c>
      <c r="B13" s="6" t="n">
        <v>48500</v>
      </c>
      <c r="C13" s="7" t="n">
        <v>49289.3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47872.22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54020.176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47866.574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43078.04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48071.293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</row>
    <row r="14">
      <c r="A14" s="5" t="n">
        <v>45634</v>
      </c>
      <c r="B14" s="6" t="n">
        <v>48200</v>
      </c>
      <c r="C14" s="7" t="n">
        <v>48748.98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47435.29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53786.953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47426.098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42393.86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47805.832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</row>
    <row r="15">
      <c r="A15" s="5" t="n">
        <v>45641</v>
      </c>
      <c r="B15" s="6" t="n">
        <v>48200</v>
      </c>
      <c r="C15" s="7" t="n">
        <v>48485.87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46935.496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52902.16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47322.36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42746.184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47538.844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</row>
    <row r="16">
      <c r="A16" s="5" t="n">
        <v>45648</v>
      </c>
      <c r="B16" s="6" t="n">
        <v>48200</v>
      </c>
      <c r="C16" s="7" t="n">
        <v>48465.793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46700.1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52181.664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46827.68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42474.297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47201.035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</row>
    <row r="17">
      <c r="A17" s="5" t="n">
        <v>45655</v>
      </c>
      <c r="B17" s="6" t="n">
        <v>48100</v>
      </c>
      <c r="C17" s="7" t="n">
        <v>48413.867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46263.645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52198.887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46726.586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41966.8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47676.363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</row>
    <row r="18">
      <c r="A18" s="5" t="n">
        <v>45662</v>
      </c>
      <c r="B18" s="6" t="n">
        <v>48100</v>
      </c>
      <c r="C18" s="7" t="n">
        <v>48234.37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46973.45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52731.883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47475.348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42447.32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47519.26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</row>
    <row r="19">
      <c r="A19" s="5" t="n">
        <v>45669</v>
      </c>
      <c r="B19" s="6" t="n">
        <v>48200</v>
      </c>
      <c r="C19" s="7" t="n">
        <v>48122.51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46866.13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52444.688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47381.94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42000.508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47965.875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</row>
    <row r="20">
      <c r="A20" s="5" t="n">
        <v>45676</v>
      </c>
      <c r="B20" s="6" t="n">
        <v>48500</v>
      </c>
      <c r="C20" s="7" t="n">
        <v>48311.203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46593.652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52070.676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47516.19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42259.516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47138.54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</row>
    <row r="21">
      <c r="A21" s="5" t="n">
        <v>45683</v>
      </c>
      <c r="B21" s="6" t="n">
        <v>48400</v>
      </c>
      <c r="C21" s="7" t="n">
        <v>48662.812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46612.094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52098.8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47048.53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41692.43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46750.57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</row>
    <row r="22">
      <c r="A22" s="5" t="n">
        <v>45690</v>
      </c>
      <c r="B22" s="6" t="n">
        <v>48600</v>
      </c>
      <c r="C22" s="7" t="n">
        <v>48479.895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47543.04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51927.207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47049.8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41593.426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46636.145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</row>
    <row r="23">
      <c r="A23" s="5" t="n">
        <v>45697</v>
      </c>
      <c r="B23" s="6" t="n">
        <v>49000</v>
      </c>
      <c r="C23" s="7" t="n">
        <v>48735.496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49119.02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52442.926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46767.04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41294.68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47446.426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</row>
    <row r="24">
      <c r="A24" s="5" t="n">
        <v>45704</v>
      </c>
      <c r="B24" s="6" t="n">
        <v>49000</v>
      </c>
      <c r="C24" s="7" t="n">
        <v>49074.832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48890.31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52338.957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46952.477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41927.676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47219.918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</row>
    <row r="25">
      <c r="A25" s="5" t="n">
        <v>45711</v>
      </c>
      <c r="B25" s="6" t="n">
        <v>49000</v>
      </c>
      <c r="C25" s="7" t="n">
        <v>48987.723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48402.28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52583.195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46872.63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42023.27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47601.695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</row>
    <row r="26">
      <c r="A26" s="5" t="n">
        <v>45718</v>
      </c>
      <c r="B26" s="6" t="n">
        <v>49000</v>
      </c>
      <c r="C26" s="7" t="n">
        <v>48994.418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48310.89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53543.047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47647.996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42945.57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47395.24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</row>
    <row r="27">
      <c r="A27" s="5" t="n">
        <v>45725</v>
      </c>
      <c r="B27" s="6" t="n">
        <v>49000</v>
      </c>
      <c r="C27" s="7" t="n">
        <v>48906.074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48347.727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54872.88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48094.727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42719.69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47835.77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</row>
    <row r="28">
      <c r="A28" s="5" t="n">
        <v>45732</v>
      </c>
      <c r="B28" s="6" t="n">
        <v>49500</v>
      </c>
      <c r="C28" s="7" t="n">
        <v>49017.668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49210.355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54780.16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48235.383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42945.375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47776.484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</row>
    <row r="29">
      <c r="A29" s="5" t="n">
        <v>45739</v>
      </c>
      <c r="B29" s="6" t="n">
        <v>49600</v>
      </c>
      <c r="C29" s="7" t="n">
        <v>49394.445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50186.824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55251.46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48420.11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42997.484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47555.832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</row>
    <row r="30">
      <c r="A30" s="5" t="n">
        <v>45746</v>
      </c>
      <c r="B30" s="6" t="n">
        <v>51500</v>
      </c>
      <c r="C30" s="7" t="n">
        <v>49468.5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51297.227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56012.703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48527.805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42659.49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48627.535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</row>
    <row r="31">
      <c r="A31" s="5" t="n">
        <v>45753</v>
      </c>
      <c r="B31" s="6" t="n">
        <v>52000</v>
      </c>
      <c r="C31" s="7" t="n">
        <v>51338.58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53331.37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56813.68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48658.855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43923.9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49037.62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</row>
    <row r="32">
      <c r="A32" s="5" t="n">
        <v>45760</v>
      </c>
      <c r="B32" s="6" t="n">
        <v>51500</v>
      </c>
      <c r="C32" s="7" t="n">
        <v>51800.77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52471.992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56941.89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48763.03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44730.09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49605.086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</row>
    <row r="33">
      <c r="A33" s="5" t="n">
        <v>45767</v>
      </c>
      <c r="B33" s="6" t="n">
        <v>51500</v>
      </c>
      <c r="C33" s="7" t="n">
        <v>51435.387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51414.65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56921.67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48969.99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45583.6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49360.93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</row>
    <row r="34">
      <c r="A34" s="5" t="n">
        <v>45774</v>
      </c>
      <c r="B34" s="6" t="n">
        <v>52500</v>
      </c>
      <c r="C34" s="7" t="n">
        <v>51575.87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51011.684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56884.664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48981.14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45634.59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49159.336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</row>
    <row r="35">
      <c r="A35" s="5" t="n">
        <v>45781</v>
      </c>
      <c r="B35" s="6" t="n">
        <v>53000</v>
      </c>
      <c r="C35" s="7" t="n">
        <v>52573.07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52697.89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56844.89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48806.695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45443.37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49103.094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</row>
    <row r="36">
      <c r="A36" s="5" t="n">
        <v>45788</v>
      </c>
      <c r="B36" s="6" t="n">
        <v>53000</v>
      </c>
      <c r="C36" s="7" t="n">
        <v>52980.902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53386.234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56694.92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48804.18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45402.617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48885.5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</row>
    <row r="37">
      <c r="A37" s="5" t="n">
        <v>45795</v>
      </c>
      <c r="B37" s="6" t="n">
        <v>53300</v>
      </c>
      <c r="C37" s="7" t="n">
        <v>52849.855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52176.54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56318.594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48518.824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45038.523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48739.07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</row>
    <row r="38">
      <c r="A38" s="5" t="n">
        <v>45802</v>
      </c>
      <c r="B38" s="6" t="n">
        <v>52800</v>
      </c>
      <c r="C38" s="7" t="n">
        <v>53047.453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51460.098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55859.5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47506.867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44419.9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48602.555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</row>
    <row r="39">
      <c r="A39" s="5" t="n">
        <v>45809</v>
      </c>
      <c r="B39" s="6" t="n">
        <v>52000</v>
      </c>
      <c r="C39" s="7" t="n">
        <v>52849.945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51678.562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55365.566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47112.39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43633.445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47811.63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</row>
    <row r="40">
      <c r="A40" s="5" t="n">
        <v>45816</v>
      </c>
      <c r="B40" s="6" t="n">
        <v>52000</v>
      </c>
      <c r="C40" s="7" t="n">
        <v>51954.875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51054.61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53939.2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47379.57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43086.348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47458.29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</row>
    <row r="41">
      <c r="A41" s="5" t="n">
        <v>45823</v>
      </c>
      <c r="B41" s="6" t="n">
        <v>52000</v>
      </c>
      <c r="C41" s="7" t="n">
        <v>51876.484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51084.812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52669.832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46498.887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42257.273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47032.086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</row>
    <row r="42">
      <c r="A42" s="5" t="n">
        <v>45830</v>
      </c>
      <c r="B42" s="6" t="n">
        <v>52000</v>
      </c>
      <c r="C42" s="7" t="n">
        <v>51828.117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51156.66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51183.43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46142.72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41773.04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46242.535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</row>
    <row r="43">
      <c r="A43" s="5" t="n">
        <v>45837</v>
      </c>
      <c r="B43" s="6" t="n">
        <v>51900</v>
      </c>
      <c r="C43" s="7" t="n">
        <v>51849.34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50577.703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50089.992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45137.05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40987.71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45692.227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</row>
    <row r="44">
      <c r="A44" s="5" t="n">
        <v>45844</v>
      </c>
      <c r="B44" s="6" t="n">
        <v>51600</v>
      </c>
      <c r="C44" s="7" t="n">
        <v>51796.69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50715.867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49451.453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44084.85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40776.83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45269.836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</row>
    <row r="45">
      <c r="A45" s="5" t="n">
        <v>45851</v>
      </c>
      <c r="B45" s="6" t="n">
        <v>51000</v>
      </c>
      <c r="C45" s="7" t="n">
        <v>51608.594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50076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48734.2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43393.67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40120.227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44819.535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</row>
    <row r="46">
      <c r="A46" s="5" t="n">
        <v>45858</v>
      </c>
      <c r="B46" s="6" t="n">
        <v>50500</v>
      </c>
      <c r="C46" s="7" t="n">
        <v>51124.99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49130.664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47849.39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43030.34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39224.24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44812.695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</row>
    <row r="47">
      <c r="A47" s="5" t="n">
        <v>45865</v>
      </c>
      <c r="B47" s="6" t="n">
        <v>50000</v>
      </c>
      <c r="C47" s="7" t="n">
        <v>50675.57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49114.234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47328.5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42923.566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39189.77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44499.35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</row>
    <row r="48">
      <c r="A48" s="5" t="n">
        <v>45872</v>
      </c>
      <c r="B48" s="6" t="n">
        <v>50000</v>
      </c>
      <c r="C48" s="7" t="n">
        <v>50124.1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48261.8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48088.434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42957.816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39051.805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45509.15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</row>
    <row r="49">
      <c r="A49" s="5" t="n">
        <v>45879</v>
      </c>
      <c r="B49" s="6" t="n">
        <v>50300</v>
      </c>
      <c r="C49" s="7" t="n">
        <v>50147.227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49626.973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48906.49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43524.098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40191.113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46144.336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</row>
    <row r="50">
      <c r="A50" s="5" t="n">
        <v>45886</v>
      </c>
      <c r="B50" s="6" t="n">
        <v>50500</v>
      </c>
      <c r="C50" s="7" t="n">
        <v>50470.684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51275.105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48597.547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44532.348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40234.203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46232.28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</row>
    <row r="51">
      <c r="A51" s="5" t="n">
        <v>45893</v>
      </c>
      <c r="B51" s="6" t="n">
        <v>50500</v>
      </c>
      <c r="C51" s="7" t="n">
        <v>50721.27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50254.203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48066.598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45535.65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39811.81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45988.36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</row>
    <row r="52">
      <c r="A52" s="5" t="n">
        <v>45900</v>
      </c>
      <c r="B52" s="6" t="n">
        <v>50700</v>
      </c>
      <c r="C52" s="7" t="n">
        <v>50833.527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50244.117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47707.633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45394.613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39555.258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45769.65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</row>
    <row r="53">
      <c r="A53" s="5" t="n">
        <v>45907</v>
      </c>
      <c r="B53" s="6" t="n">
        <v>50800</v>
      </c>
      <c r="C53" s="7" t="n">
        <v>51076.78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49789.316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47675.63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45379.156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39911.895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45198.06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</row>
    <row r="54">
      <c r="A54" s="5" t="n">
        <v>45914</v>
      </c>
      <c r="B54" s="6" t="n">
        <v>50500</v>
      </c>
      <c r="C54" s="7" t="n">
        <v>51051.715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49338.895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47420.055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44702.6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39389.273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45059.125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</row>
    <row r="55">
      <c r="A55" s="5" t="n">
        <v>45921</v>
      </c>
      <c r="B55" s="6" t="n">
        <v>50000</v>
      </c>
      <c r="C55" s="7" t="n">
        <v>50591.527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49134.91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46981.46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44605.848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39489.152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45551.91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</row>
    <row r="56">
      <c r="A56" s="5" t="n">
        <v>45928</v>
      </c>
      <c r="B56" s="6" t="n">
        <v>50000</v>
      </c>
      <c r="C56" s="7" t="n">
        <v>49957.477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49132.227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47015.07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44290.438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39782.688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45138.37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</row>
    <row r="57">
      <c r="A57" s="5" t="n">
        <v>45935</v>
      </c>
      <c r="B57" s="6" t="n">
        <v>50000</v>
      </c>
      <c r="C57" s="7" t="n">
        <v>49871.977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48885.996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47494.957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44466.582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39601.656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45108.438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</row>
    <row r="58">
      <c r="A58" s="5" t="n">
        <v>45942</v>
      </c>
      <c r="B58" s="6" t="n">
        <v>49800</v>
      </c>
      <c r="C58" s="7" t="n">
        <v>49892.88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48413.21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47166.61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43829.95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39831.664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44732.637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</row>
    <row r="59">
      <c r="A59" s="5" t="n">
        <v>45949</v>
      </c>
      <c r="B59" s="6" t="n">
        <v>49000</v>
      </c>
      <c r="C59" s="7" t="n">
        <v>49747.273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48084.508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47128.168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43020.26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39230.973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44190.66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</row>
    <row r="60">
      <c r="A60" s="5" t="n">
        <v>45956</v>
      </c>
      <c r="B60" s="6" t="n">
        <v>49000</v>
      </c>
      <c r="C60" s="7" t="n">
        <v>48948.97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47678.113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47159.094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42749.906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38952.484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43567.47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</row>
    <row r="61">
      <c r="A61" s="5" t="n">
        <v>45963</v>
      </c>
      <c r="B61" s="6" t="n">
        <v>49000</v>
      </c>
      <c r="C61" s="7" t="n">
        <v>48955.402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47998.504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47846.375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42511.312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38369.855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42978.992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</row>
    <row r="62">
      <c r="A62" s="5" t="n">
        <v>45970</v>
      </c>
      <c r="B62" s="6" t="n">
        <v>49600</v>
      </c>
      <c r="C62" s="7" t="n">
        <v>48893.582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47142.223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48115.58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41643.125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37891.66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43159.96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</row>
    <row r="63">
      <c r="A63" s="5" t="n">
        <v>45977</v>
      </c>
      <c r="B63" s="6" t="n">
        <v>49600</v>
      </c>
      <c r="C63" s="7" t="n">
        <v>49567.61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48043.527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47420.5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41725.77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37751.332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42798.43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</row>
    <row r="64">
      <c r="A64" s="5" t="n">
        <v>45984</v>
      </c>
      <c r="B64" s="6" t="n">
        <v>49000</v>
      </c>
      <c r="C64" s="7" t="n">
        <v>49464.4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46871.6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46451.684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42956.5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37972.293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42856.727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</row>
    <row r="65">
      <c r="A65" s="5" t="n">
        <v>45991</v>
      </c>
      <c r="B65" s="6" t="n">
        <v>48600</v>
      </c>
      <c r="C65" s="7" t="n">
        <v>48921.3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46256.562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46215.188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42534.42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37973.64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43352.51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</row>
    <row r="66">
      <c r="A66" s="5" t="n">
        <v>45998</v>
      </c>
      <c r="B66" s="6" t="n">
        <v>46700</v>
      </c>
      <c r="C66" s="7" t="n">
        <v>48555.87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45896.99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46741.496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42726.188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38469.508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43959.91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</row>
    <row r="67">
      <c r="A67" s="5" t="n">
        <v>46005</v>
      </c>
      <c r="B67" s="6" t="n">
        <v>46800</v>
      </c>
      <c r="C67" s="7" t="n">
        <v>46685.473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45627.87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47030.082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42897.51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38738.656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44653.4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</row>
    <row r="68">
      <c r="A68" s="5" t="n">
        <v>46012</v>
      </c>
      <c r="B68" s="6" t="n">
        <v>46800</v>
      </c>
      <c r="C68" s="7" t="n">
        <v>46797.477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45974.848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47023.395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43623.188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39347.945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44411.58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</row>
    <row r="69">
      <c r="A69" s="5" t="n">
        <v>46019</v>
      </c>
      <c r="B69" s="6" t="n">
        <v>48000</v>
      </c>
      <c r="C69" s="7" t="n">
        <v>46828.332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47617.773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48743.03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44289.637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39357.836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45255.613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</row>
    <row r="70">
      <c r="A70" s="5" t="n">
        <v>46026</v>
      </c>
      <c r="B70" s="6" t="n">
        <v>50400</v>
      </c>
      <c r="C70" s="7" t="n">
        <v>47960.688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50123.625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51850.805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44778.297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39733.254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46321.86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</row>
    <row r="71">
      <c r="A71" s="5" t="n">
        <v>46033</v>
      </c>
      <c r="B71" s="6" t="n">
        <v>51400</v>
      </c>
      <c r="C71" s="7" t="n">
        <v>50399.95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52455.734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52580.867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48082.74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43689.457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49701.523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</row>
    <row r="72">
      <c r="A72" s="5" t="n">
        <v>46040</v>
      </c>
      <c r="B72" s="6" t="n">
        <v>52000</v>
      </c>
      <c r="C72" s="7" t="n">
        <v>51400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50818.824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53906.906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48207.832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42612.496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48641.082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</row>
    <row r="73">
      <c r="A73" s="5" t="n">
        <v>46047</v>
      </c>
      <c r="B73" s="6" t="n">
        <v>53000</v>
      </c>
      <c r="C73" s="7" t="n">
        <v>52056.516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52572.96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55583.484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48986.79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43109.5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49048.63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</row>
    <row r="74">
      <c r="A74" s="5" t="n">
        <v>46054</v>
      </c>
      <c r="B74" s="6" t="n">
        <v>53400</v>
      </c>
      <c r="C74" s="7" t="n">
        <v>53069.42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53071.152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57044.664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50049.33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43895.695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49880.723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</row>
    <row r="75">
      <c r="A75" s="5" t="n">
        <v>46061</v>
      </c>
      <c r="B75" s="6" t="n">
        <v>55100</v>
      </c>
      <c r="C75" s="7" t="n">
        <v>53416.58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53539.08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58144.63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50570.78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43849.25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49649.76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</row>
    <row r="76">
      <c r="A76" s="5" t="n">
        <v>46068</v>
      </c>
      <c r="B76" s="6" t="n">
        <v>55200</v>
      </c>
      <c r="C76" s="7" t="n">
        <v>54855.12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COUNTIF(G76:G85,1)&amp;"/"&amp;COUNT(G76:G85)</f>
        <v/>
      </c>
      <c r="I76" s="6" t="n">
        <v>53650</v>
      </c>
      <c r="J76" s="7" t="n">
        <v>54069.66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COUNTIF(N76:N85,1)&amp;"/"&amp;COUNT(N76:N85)</f>
        <v/>
      </c>
      <c r="P76" s="6" t="n">
        <v>58900</v>
      </c>
      <c r="Q76" s="7" t="n">
        <v>58294.59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COUNTIF(U76:U85,1)&amp;"/"&amp;COUNT(U76:U85)</f>
        <v/>
      </c>
      <c r="W76" s="6" t="n">
        <v>50000</v>
      </c>
      <c r="X76" s="7" t="n">
        <v>51035.453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COUNTIF(AB76:AB85,1)&amp;"/"&amp;COUNT(AB76:AB85)</f>
        <v/>
      </c>
      <c r="AD76" s="6" t="n">
        <v>45266.67</v>
      </c>
      <c r="AE76" s="7" t="n">
        <v>44703.87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COUNTIF(AI76:AI85,1)&amp;"/"&amp;COUNT(AI76:AI85)</f>
        <v/>
      </c>
      <c r="AK76" s="6" t="n">
        <v>49800</v>
      </c>
      <c r="AL76" s="7" t="n">
        <v>48716.92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COUNTIF(AP76:AP85,1)&amp;"/"&amp;COUNT(AP76:AP85)</f>
        <v/>
      </c>
    </row>
    <row r="77">
      <c r="A77" s="5" t="n">
        <v>46075</v>
      </c>
      <c r="B77" s="6" t="n">
        <v>54600</v>
      </c>
      <c r="C77" s="7" t="n">
        <v>55140.293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53664.223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58833.46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51078.355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45635.324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49421.723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</row>
    <row r="78">
      <c r="A78" s="5" t="n">
        <v>46082</v>
      </c>
      <c r="B78" s="6" t="n">
        <v>54000</v>
      </c>
      <c r="C78" s="7" t="n">
        <v>54581.05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53848.87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58916.22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50641.164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44942.61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49031.684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</row>
    <row r="79">
      <c r="A79" s="5" t="n">
        <v>46089</v>
      </c>
      <c r="B79" s="6" t="n">
        <v>54400</v>
      </c>
      <c r="C79" s="7" t="n">
        <v>54030.69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53712.137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58983.34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49866.215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44225.242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48687.56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</row>
    <row r="80">
      <c r="A80" s="5" t="n">
        <v>46096</v>
      </c>
      <c r="B80" s="6" t="n">
        <v>55600</v>
      </c>
      <c r="C80" s="7" t="n">
        <v>54441.51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54561.58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59718.688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50754.586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46165.83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50255.04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</row>
    <row r="81">
      <c r="A81" s="5" t="n">
        <v>46103</v>
      </c>
      <c r="B81" s="6" t="n">
        <v>56900</v>
      </c>
      <c r="C81" s="7" t="n">
        <v>55587.082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56795.613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60358.48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51412.48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46364.19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50201.656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</row>
    <row r="82">
      <c r="A82" s="5" t="n">
        <v>46110</v>
      </c>
      <c r="B82" s="6" t="n">
        <v>58200</v>
      </c>
      <c r="C82" s="7" t="n">
        <v>56868.973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57495.387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60597.387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50739.316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46358.047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50012.57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</row>
    <row r="83">
      <c r="A83" s="5" t="n">
        <v>46117</v>
      </c>
      <c r="B83" s="6" t="n">
        <v>59100</v>
      </c>
      <c r="C83" s="7" t="n">
        <v>58309.02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58529.586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60724.445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50521.633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45841.67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49642.883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</row>
    <row r="84">
      <c r="A84" s="5" t="n">
        <v>46124</v>
      </c>
      <c r="B84" s="6" t="n">
        <v>59500</v>
      </c>
      <c r="C84" s="7" t="n">
        <v>59289.5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60408.17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61050.92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52404.445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47907.76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51367.45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</row>
    <row r="85">
      <c r="A85" s="5" t="n">
        <v>46131</v>
      </c>
      <c r="B85" s="6" t="n">
        <v>59500</v>
      </c>
      <c r="C85" s="7" t="n">
        <v>59731.32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59452.684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61079.613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53474.65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47857.98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52642.93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</row>
  </sheetData>
  <mergeCells count="49">
    <mergeCell ref="AC40:AC51"/>
    <mergeCell ref="I1:O1"/>
    <mergeCell ref="O52:O63"/>
    <mergeCell ref="H16:H27"/>
    <mergeCell ref="AJ64:AJ75"/>
    <mergeCell ref="V16:V27"/>
    <mergeCell ref="H28:H39"/>
    <mergeCell ref="AC52:AC63"/>
    <mergeCell ref="AJ76:AJ85"/>
    <mergeCell ref="H76:H85"/>
    <mergeCell ref="AQ28:AQ39"/>
    <mergeCell ref="AQ40:AQ51"/>
    <mergeCell ref="AJ4:AJ15"/>
    <mergeCell ref="AJ40:AJ51"/>
    <mergeCell ref="V52:V63"/>
    <mergeCell ref="H4:H15"/>
    <mergeCell ref="AJ16:AJ27"/>
    <mergeCell ref="AJ52:AJ63"/>
    <mergeCell ref="AC16:AC27"/>
    <mergeCell ref="V64:V75"/>
    <mergeCell ref="O28:O39"/>
    <mergeCell ref="V76:V85"/>
    <mergeCell ref="AQ76:AQ85"/>
    <mergeCell ref="V4:V15"/>
    <mergeCell ref="P1:V1"/>
    <mergeCell ref="AC28:AC39"/>
    <mergeCell ref="A1:A3"/>
    <mergeCell ref="AQ16:AQ27"/>
    <mergeCell ref="H64:H75"/>
    <mergeCell ref="AC76:AC85"/>
    <mergeCell ref="V28:V39"/>
    <mergeCell ref="AD1:AJ1"/>
    <mergeCell ref="H40:H51"/>
    <mergeCell ref="W1:AC1"/>
    <mergeCell ref="V40:V51"/>
    <mergeCell ref="O4:O15"/>
    <mergeCell ref="H52:H63"/>
    <mergeCell ref="AQ52:AQ63"/>
    <mergeCell ref="B1:H1"/>
    <mergeCell ref="AC64:AC75"/>
    <mergeCell ref="AC4:AC15"/>
    <mergeCell ref="O16:O27"/>
    <mergeCell ref="AQ4:AQ15"/>
    <mergeCell ref="AQ64:AQ75"/>
    <mergeCell ref="O64:O75"/>
    <mergeCell ref="AJ28:AJ39"/>
    <mergeCell ref="O40:O51"/>
    <mergeCell ref="AK1:AQ1"/>
    <mergeCell ref="O76:O8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8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</row>
    <row r="3">
      <c r="D3" s="4">
        <f>AVERAGE(D4:D85)</f>
        <v/>
      </c>
      <c r="E3" s="4">
        <f>AVERAGE(E4:E85)</f>
        <v/>
      </c>
      <c r="F3" s="4">
        <f>AVERAGE(F4:F85)</f>
        <v/>
      </c>
      <c r="G3" s="4">
        <f>AVERAGE(G4:G85)</f>
        <v/>
      </c>
      <c r="K3" s="4">
        <f>AVERAGE(K4:K85)</f>
        <v/>
      </c>
      <c r="L3" s="4">
        <f>AVERAGE(L4:L85)</f>
        <v/>
      </c>
      <c r="M3" s="4">
        <f>AVERAGE(M4:M85)</f>
        <v/>
      </c>
      <c r="N3" s="4">
        <f>AVERAGE(N4:N85)</f>
        <v/>
      </c>
      <c r="R3" s="4">
        <f>AVERAGE(R4:R85)</f>
        <v/>
      </c>
      <c r="S3" s="4">
        <f>AVERAGE(S4:S85)</f>
        <v/>
      </c>
      <c r="T3" s="4">
        <f>AVERAGE(T4:T85)</f>
        <v/>
      </c>
      <c r="U3" s="4">
        <f>AVERAGE(U4:U85)</f>
        <v/>
      </c>
      <c r="Y3" s="4">
        <f>AVERAGE(Y4:Y85)</f>
        <v/>
      </c>
      <c r="Z3" s="4">
        <f>AVERAGE(Z4:Z85)</f>
        <v/>
      </c>
      <c r="AA3" s="4">
        <f>AVERAGE(AA4:AA85)</f>
        <v/>
      </c>
      <c r="AB3" s="4">
        <f>AVERAGE(AB4:AB85)</f>
        <v/>
      </c>
      <c r="AF3" s="4">
        <f>AVERAGE(AF4:AF85)</f>
        <v/>
      </c>
      <c r="AG3" s="4">
        <f>AVERAGE(AG4:AG85)</f>
        <v/>
      </c>
      <c r="AH3" s="4">
        <f>AVERAGE(AH4:AH85)</f>
        <v/>
      </c>
      <c r="AI3" s="4">
        <f>AVERAGE(AI4:AI85)</f>
        <v/>
      </c>
      <c r="AM3" s="4">
        <f>AVERAGE(AM4:AM85)</f>
        <v/>
      </c>
      <c r="AN3" s="4">
        <f>AVERAGE(AN4:AN85)</f>
        <v/>
      </c>
      <c r="AO3" s="4">
        <f>AVERAGE(AO4:AO85)</f>
        <v/>
      </c>
      <c r="AP3" s="4">
        <f>AVERAGE(AP4:AP85)</f>
        <v/>
      </c>
    </row>
    <row r="4">
      <c r="A4" s="5" t="n">
        <v>45564</v>
      </c>
      <c r="B4" s="6" t="n">
        <v>49000</v>
      </c>
      <c r="C4" s="7" t="n">
        <v>51889.145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46617.285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51078.434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45791.348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42751.93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48587.812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</row>
    <row r="5">
      <c r="A5" s="5" t="n">
        <v>45571</v>
      </c>
      <c r="B5" s="6" t="n">
        <v>49000</v>
      </c>
      <c r="C5" s="7" t="n">
        <v>51701.48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46705.594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50840.01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46022.688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42879.984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48846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</row>
    <row r="6">
      <c r="A6" s="5" t="n">
        <v>45578</v>
      </c>
      <c r="B6" s="6" t="n">
        <v>49200</v>
      </c>
      <c r="C6" s="7" t="n">
        <v>51568.492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47598.44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50553.72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46286.574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43077.098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48981.258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</row>
    <row r="7">
      <c r="A7" s="5" t="n">
        <v>45585</v>
      </c>
      <c r="B7" s="6" t="n">
        <v>49200</v>
      </c>
      <c r="C7" s="7" t="n">
        <v>51028.75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48629.81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50480.824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46981.355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42809.69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49266.543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</row>
    <row r="8">
      <c r="A8" s="5" t="n">
        <v>45592</v>
      </c>
      <c r="B8" s="6" t="n">
        <v>49200</v>
      </c>
      <c r="C8" s="7" t="n">
        <v>50645.406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48530.02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50355.203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46826.906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42959.67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48517.746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</row>
    <row r="9">
      <c r="A9" s="5" t="n">
        <v>45599</v>
      </c>
      <c r="B9" s="6" t="n">
        <v>49200</v>
      </c>
      <c r="C9" s="7" t="n">
        <v>50431.594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48246.145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50903.773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46599.332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42615.785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48291.83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</row>
    <row r="10">
      <c r="A10" s="5" t="n">
        <v>45606</v>
      </c>
      <c r="B10" s="6" t="n">
        <v>49000</v>
      </c>
      <c r="C10" s="7" t="n">
        <v>50263.086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47952.51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51224.32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46488.734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42493.707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47963.234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</row>
    <row r="11">
      <c r="A11" s="5" t="n">
        <v>45613</v>
      </c>
      <c r="B11" s="6" t="n">
        <v>49000</v>
      </c>
      <c r="C11" s="7" t="n">
        <v>50516.066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48163.93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51549.18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46503.875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42494.055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47976.484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</row>
    <row r="12">
      <c r="A12" s="5" t="n">
        <v>45620</v>
      </c>
      <c r="B12" s="6" t="n">
        <v>49000</v>
      </c>
      <c r="C12" s="7" t="n">
        <v>50503.86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47865.562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51639.42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46931.36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42145.48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48246.504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</row>
    <row r="13">
      <c r="A13" s="5" t="n">
        <v>45627</v>
      </c>
      <c r="B13" s="6" t="n">
        <v>48500</v>
      </c>
      <c r="C13" s="7" t="n">
        <v>50264.21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47930.574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52265.69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47063.43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41922.5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48303.035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</row>
    <row r="14">
      <c r="A14" s="5" t="n">
        <v>45634</v>
      </c>
      <c r="B14" s="6" t="n">
        <v>48200</v>
      </c>
      <c r="C14" s="7" t="n">
        <v>50132.414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47655.84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53006.926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47250.21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40958.484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48455.17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</row>
    <row r="15">
      <c r="A15" s="5" t="n">
        <v>45641</v>
      </c>
      <c r="B15" s="6" t="n">
        <v>48200</v>
      </c>
      <c r="C15" s="7" t="n">
        <v>49956.906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47135.293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53427.492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47340.508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40092.27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48179.37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</row>
    <row r="16">
      <c r="A16" s="5" t="n">
        <v>45648</v>
      </c>
      <c r="B16" s="6" t="n">
        <v>48200</v>
      </c>
      <c r="C16" s="7" t="n">
        <v>48254.062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46829.582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52067.023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45988.07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41993.59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46766.117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</row>
    <row r="17">
      <c r="A17" s="5" t="n">
        <v>45655</v>
      </c>
      <c r="B17" s="6" t="n">
        <v>48100</v>
      </c>
      <c r="C17" s="7" t="n">
        <v>48107.47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46174.535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51975.598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45905.434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41719.26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47427.55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</row>
    <row r="18">
      <c r="A18" s="5" t="n">
        <v>45662</v>
      </c>
      <c r="B18" s="6" t="n">
        <v>48100</v>
      </c>
      <c r="C18" s="7" t="n">
        <v>47991.215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46537.664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52550.203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47511.277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42845.855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47253.223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</row>
    <row r="19">
      <c r="A19" s="5" t="n">
        <v>45669</v>
      </c>
      <c r="B19" s="6" t="n">
        <v>48200</v>
      </c>
      <c r="C19" s="7" t="n">
        <v>48296.96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46560.637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52402.656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47892.32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42758.996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47745.695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</row>
    <row r="20">
      <c r="A20" s="5" t="n">
        <v>45676</v>
      </c>
      <c r="B20" s="6" t="n">
        <v>48500</v>
      </c>
      <c r="C20" s="7" t="n">
        <v>48115.043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46476.676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51890.617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47908.168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42319.06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46927.508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</row>
    <row r="21">
      <c r="A21" s="5" t="n">
        <v>45683</v>
      </c>
      <c r="B21" s="6" t="n">
        <v>48400</v>
      </c>
      <c r="C21" s="7" t="n">
        <v>48563.76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46444.87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52126.99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46900.96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41081.76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46177.523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</row>
    <row r="22">
      <c r="A22" s="5" t="n">
        <v>45690</v>
      </c>
      <c r="B22" s="6" t="n">
        <v>48600</v>
      </c>
      <c r="C22" s="7" t="n">
        <v>48419.777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47094.98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52315.22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46462.64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41120.387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46105.742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</row>
    <row r="23">
      <c r="A23" s="5" t="n">
        <v>45697</v>
      </c>
      <c r="B23" s="6" t="n">
        <v>49000</v>
      </c>
      <c r="C23" s="7" t="n">
        <v>48696.492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48549.41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52979.973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46418.79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41224.324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47219.53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</row>
    <row r="24">
      <c r="A24" s="5" t="n">
        <v>45704</v>
      </c>
      <c r="B24" s="6" t="n">
        <v>49000</v>
      </c>
      <c r="C24" s="7" t="n">
        <v>49124.88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48742.836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52911.56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47010.258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42595.664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47313.2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</row>
    <row r="25">
      <c r="A25" s="5" t="n">
        <v>45711</v>
      </c>
      <c r="B25" s="6" t="n">
        <v>49000</v>
      </c>
      <c r="C25" s="7" t="n">
        <v>48972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48439.51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52503.445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47335.15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42668.598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47491.688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</row>
    <row r="26">
      <c r="A26" s="5" t="n">
        <v>45718</v>
      </c>
      <c r="B26" s="6" t="n">
        <v>49000</v>
      </c>
      <c r="C26" s="7" t="n">
        <v>48935.72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48423.38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53057.41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47991.293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43061.176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47386.566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</row>
    <row r="27">
      <c r="A27" s="5" t="n">
        <v>45725</v>
      </c>
      <c r="B27" s="6" t="n">
        <v>49000</v>
      </c>
      <c r="C27" s="7" t="n">
        <v>49070.24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48186.375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54328.215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48948.906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42663.06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47726.59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</row>
    <row r="28">
      <c r="A28" s="5" t="n">
        <v>45732</v>
      </c>
      <c r="B28" s="6" t="n">
        <v>49500</v>
      </c>
      <c r="C28" s="7" t="n">
        <v>48565.504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48641.156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52371.125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47125.45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42316.414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47043.09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</row>
    <row r="29">
      <c r="A29" s="5" t="n">
        <v>45739</v>
      </c>
      <c r="B29" s="6" t="n">
        <v>49600</v>
      </c>
      <c r="C29" s="7" t="n">
        <v>48784.363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49563.727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52016.785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47153.3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42346.13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46781.176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</row>
    <row r="30">
      <c r="A30" s="5" t="n">
        <v>45746</v>
      </c>
      <c r="B30" s="6" t="n">
        <v>51500</v>
      </c>
      <c r="C30" s="7" t="n">
        <v>48841.61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50547.72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52115.61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47345.375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42382.168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46912.883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</row>
    <row r="31">
      <c r="A31" s="5" t="n">
        <v>45753</v>
      </c>
      <c r="B31" s="6" t="n">
        <v>52000</v>
      </c>
      <c r="C31" s="7" t="n">
        <v>49842.867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51993.785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52680.633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47922.992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43088.637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47796.445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</row>
    <row r="32">
      <c r="A32" s="5" t="n">
        <v>45760</v>
      </c>
      <c r="B32" s="6" t="n">
        <v>51500</v>
      </c>
      <c r="C32" s="7" t="n">
        <v>50655.45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52433.44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53627.562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48599.59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43350.773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48266.688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</row>
    <row r="33">
      <c r="A33" s="5" t="n">
        <v>45767</v>
      </c>
      <c r="B33" s="6" t="n">
        <v>51500</v>
      </c>
      <c r="C33" s="7" t="n">
        <v>51215.93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51782.395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54216.36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48769.684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43283.31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48348.582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</row>
    <row r="34">
      <c r="A34" s="5" t="n">
        <v>45774</v>
      </c>
      <c r="B34" s="6" t="n">
        <v>52500</v>
      </c>
      <c r="C34" s="7" t="n">
        <v>51725.504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51255.34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54324.426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48760.465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42822.11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48255.227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</row>
    <row r="35">
      <c r="A35" s="5" t="n">
        <v>45781</v>
      </c>
      <c r="B35" s="6" t="n">
        <v>53000</v>
      </c>
      <c r="C35" s="7" t="n">
        <v>52246.254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51950.402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54686.582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48742.06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43270.535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48636.08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</row>
    <row r="36">
      <c r="A36" s="5" t="n">
        <v>45788</v>
      </c>
      <c r="B36" s="6" t="n">
        <v>53000</v>
      </c>
      <c r="C36" s="7" t="n">
        <v>52539.08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52688.13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54910.266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49281.758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43625.223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49226.715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</row>
    <row r="37">
      <c r="A37" s="5" t="n">
        <v>45795</v>
      </c>
      <c r="B37" s="6" t="n">
        <v>53300</v>
      </c>
      <c r="C37" s="7" t="n">
        <v>52685.574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52494.574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55351.535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49959.89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44316.105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49477.86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</row>
    <row r="38">
      <c r="A38" s="5" t="n">
        <v>45802</v>
      </c>
      <c r="B38" s="6" t="n">
        <v>52800</v>
      </c>
      <c r="C38" s="7" t="n">
        <v>52944.418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51783.36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55607.176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50243.344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44525.53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49750.113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</row>
    <row r="39">
      <c r="A39" s="5" t="n">
        <v>45809</v>
      </c>
      <c r="B39" s="6" t="n">
        <v>52000</v>
      </c>
      <c r="C39" s="7" t="n">
        <v>53286.89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51737.96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55960.97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50224.47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44729.027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50045.79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</row>
    <row r="40">
      <c r="A40" s="5" t="n">
        <v>45816</v>
      </c>
      <c r="B40" s="6" t="n">
        <v>52000</v>
      </c>
      <c r="C40" s="7" t="n">
        <v>51637.613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51201.645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55497.164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48730.184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43591.844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49788.99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</row>
    <row r="41">
      <c r="A41" s="5" t="n">
        <v>45823</v>
      </c>
      <c r="B41" s="6" t="n">
        <v>52000</v>
      </c>
      <c r="C41" s="7" t="n">
        <v>51955.953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51220.92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54695.605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47876.496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43036.51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49001.902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</row>
    <row r="42">
      <c r="A42" s="5" t="n">
        <v>45830</v>
      </c>
      <c r="B42" s="6" t="n">
        <v>52000</v>
      </c>
      <c r="C42" s="7" t="n">
        <v>51797.96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51036.766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53603.086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46947.176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42720.1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48732.92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</row>
    <row r="43">
      <c r="A43" s="5" t="n">
        <v>45837</v>
      </c>
      <c r="B43" s="6" t="n">
        <v>51900</v>
      </c>
      <c r="C43" s="7" t="n">
        <v>51829.625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50925.992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52294.625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46138.63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42295.977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48417.14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</row>
    <row r="44">
      <c r="A44" s="5" t="n">
        <v>45844</v>
      </c>
      <c r="B44" s="6" t="n">
        <v>51600</v>
      </c>
      <c r="C44" s="7" t="n">
        <v>52056.234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51016.92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51485.094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45601.676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41760.49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48508.99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</row>
    <row r="45">
      <c r="A45" s="5" t="n">
        <v>45851</v>
      </c>
      <c r="B45" s="6" t="n">
        <v>51000</v>
      </c>
      <c r="C45" s="7" t="n">
        <v>51610.766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50507.82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50105.652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45205.258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40931.49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48017.695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</row>
    <row r="46">
      <c r="A46" s="5" t="n">
        <v>45858</v>
      </c>
      <c r="B46" s="6" t="n">
        <v>50500</v>
      </c>
      <c r="C46" s="7" t="n">
        <v>50752.54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49292.254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48799.87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44465.62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40127.258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47082.668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</row>
    <row r="47">
      <c r="A47" s="5" t="n">
        <v>45865</v>
      </c>
      <c r="B47" s="6" t="n">
        <v>50000</v>
      </c>
      <c r="C47" s="7" t="n">
        <v>50453.324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48953.375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47966.84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43556.363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39943.477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46338.96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</row>
    <row r="48">
      <c r="A48" s="5" t="n">
        <v>45872</v>
      </c>
      <c r="B48" s="6" t="n">
        <v>50000</v>
      </c>
      <c r="C48" s="7" t="n">
        <v>49852.02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48606.5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47513.902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43032.414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39397.47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46075.484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</row>
    <row r="49">
      <c r="A49" s="5" t="n">
        <v>45879</v>
      </c>
      <c r="B49" s="6" t="n">
        <v>50300</v>
      </c>
      <c r="C49" s="7" t="n">
        <v>49805.96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49270.535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47535.74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43203.027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39547.773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45965.27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</row>
    <row r="50">
      <c r="A50" s="5" t="n">
        <v>45886</v>
      </c>
      <c r="B50" s="6" t="n">
        <v>50500</v>
      </c>
      <c r="C50" s="7" t="n">
        <v>50507.28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50550.41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47150.242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43529.953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39705.293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46247.598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</row>
    <row r="51">
      <c r="A51" s="5" t="n">
        <v>45893</v>
      </c>
      <c r="B51" s="6" t="n">
        <v>50500</v>
      </c>
      <c r="C51" s="7" t="n">
        <v>50481.848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50199.223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47322.652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44196.938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39810.59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46121.867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</row>
    <row r="52">
      <c r="A52" s="5" t="n">
        <v>45900</v>
      </c>
      <c r="B52" s="6" t="n">
        <v>50700</v>
      </c>
      <c r="C52" s="7" t="n">
        <v>50511.28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50057.812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48502.78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46091.22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39429.676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46105.94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</row>
    <row r="53">
      <c r="A53" s="5" t="n">
        <v>45907</v>
      </c>
      <c r="B53" s="6" t="n">
        <v>50800</v>
      </c>
      <c r="C53" s="7" t="n">
        <v>50892.777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49699.062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48008.89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45330.53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40269.844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45806.44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</row>
    <row r="54">
      <c r="A54" s="5" t="n">
        <v>45914</v>
      </c>
      <c r="B54" s="6" t="n">
        <v>50500</v>
      </c>
      <c r="C54" s="7" t="n">
        <v>50771.62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49237.664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47527.105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44585.715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39985.094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45336.504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</row>
    <row r="55">
      <c r="A55" s="5" t="n">
        <v>45921</v>
      </c>
      <c r="B55" s="6" t="n">
        <v>50000</v>
      </c>
      <c r="C55" s="7" t="n">
        <v>50447.34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49129.844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47066.56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44650.04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39507.184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45466.965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</row>
    <row r="56">
      <c r="A56" s="5" t="n">
        <v>45928</v>
      </c>
      <c r="B56" s="6" t="n">
        <v>50000</v>
      </c>
      <c r="C56" s="7" t="n">
        <v>49994.137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49128.465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46972.305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44457.355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39763.996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45379.707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</row>
    <row r="57">
      <c r="A57" s="5" t="n">
        <v>45935</v>
      </c>
      <c r="B57" s="6" t="n">
        <v>50000</v>
      </c>
      <c r="C57" s="7" t="n">
        <v>50000.906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49082.96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46900.14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44481.816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39209.75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45643.04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</row>
    <row r="58">
      <c r="A58" s="5" t="n">
        <v>45942</v>
      </c>
      <c r="B58" s="6" t="n">
        <v>49800</v>
      </c>
      <c r="C58" s="7" t="n">
        <v>49757.8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48394.637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46650.25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43433.375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39507.367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45468.36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</row>
    <row r="59">
      <c r="A59" s="5" t="n">
        <v>45949</v>
      </c>
      <c r="B59" s="6" t="n">
        <v>49000</v>
      </c>
      <c r="C59" s="7" t="n">
        <v>49738.45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48082.27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46589.39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42555.676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38853.996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44938.99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</row>
    <row r="60">
      <c r="A60" s="5" t="n">
        <v>45956</v>
      </c>
      <c r="B60" s="6" t="n">
        <v>49000</v>
      </c>
      <c r="C60" s="7" t="n">
        <v>48840.93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47661.38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46806.977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42431.918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38243.613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44349.57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</row>
    <row r="61">
      <c r="A61" s="5" t="n">
        <v>45963</v>
      </c>
      <c r="B61" s="6" t="n">
        <v>49000</v>
      </c>
      <c r="C61" s="7" t="n">
        <v>48934.727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47914.594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47028.957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42135.312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37539.547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44310.555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</row>
    <row r="62">
      <c r="A62" s="5" t="n">
        <v>45970</v>
      </c>
      <c r="B62" s="6" t="n">
        <v>49600</v>
      </c>
      <c r="C62" s="7" t="n">
        <v>48952.254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47119.523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47485.17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41494.1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37151.402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44306.023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</row>
    <row r="63">
      <c r="A63" s="5" t="n">
        <v>45977</v>
      </c>
      <c r="B63" s="6" t="n">
        <v>49600</v>
      </c>
      <c r="C63" s="7" t="n">
        <v>49758.547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47499.73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47578.312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41657.492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37536.01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43952.562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</row>
    <row r="64">
      <c r="A64" s="5" t="n">
        <v>45984</v>
      </c>
      <c r="B64" s="6" t="n">
        <v>49000</v>
      </c>
      <c r="C64" s="7" t="n">
        <v>49361.93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47197.95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46428.133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42407.75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37990.48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42850.004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</row>
    <row r="65">
      <c r="A65" s="5" t="n">
        <v>45991</v>
      </c>
      <c r="B65" s="6" t="n">
        <v>48600</v>
      </c>
      <c r="C65" s="7" t="n">
        <v>49373.613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46649.656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46455.777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42601.836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38081.945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43477.215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</row>
    <row r="66">
      <c r="A66" s="5" t="n">
        <v>45998</v>
      </c>
      <c r="B66" s="6" t="n">
        <v>46700</v>
      </c>
      <c r="C66" s="7" t="n">
        <v>49105.35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45841.79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47214.676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42717.88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38482.625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44228.707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</row>
    <row r="67">
      <c r="A67" s="5" t="n">
        <v>46005</v>
      </c>
      <c r="B67" s="6" t="n">
        <v>46800</v>
      </c>
      <c r="C67" s="7" t="n">
        <v>47711.12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45799.04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47592.273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42908.65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38907.027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44836.754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</row>
    <row r="68">
      <c r="A68" s="5" t="n">
        <v>46012</v>
      </c>
      <c r="B68" s="6" t="n">
        <v>46800</v>
      </c>
      <c r="C68" s="7" t="n">
        <v>46991.043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45607.176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47599.316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43514.87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39347.945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44299.523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</row>
    <row r="69">
      <c r="A69" s="5" t="n">
        <v>46019</v>
      </c>
      <c r="B69" s="6" t="n">
        <v>48000</v>
      </c>
      <c r="C69" s="7" t="n">
        <v>46431.074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46957.85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49988.133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44270.133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39493.445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44898.54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</row>
    <row r="70">
      <c r="A70" s="5" t="n">
        <v>46026</v>
      </c>
      <c r="B70" s="6" t="n">
        <v>50400</v>
      </c>
      <c r="C70" s="7" t="n">
        <v>46896.887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48656.895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53516.082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45071.754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39775.824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46007.62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</row>
    <row r="71">
      <c r="A71" s="5" t="n">
        <v>46033</v>
      </c>
      <c r="B71" s="6" t="n">
        <v>51400</v>
      </c>
      <c r="C71" s="7" t="n">
        <v>48669.98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50562.938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53070.418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47759.918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45326.99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49806.312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</row>
    <row r="72">
      <c r="A72" s="5" t="n">
        <v>46040</v>
      </c>
      <c r="B72" s="6" t="n">
        <v>52000</v>
      </c>
      <c r="C72" s="7" t="n">
        <v>50502.63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50849.23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54584.06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48818.465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44098.555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48431.863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</row>
    <row r="73">
      <c r="A73" s="5" t="n">
        <v>46047</v>
      </c>
      <c r="B73" s="6" t="n">
        <v>53000</v>
      </c>
      <c r="C73" s="7" t="n">
        <v>52116.094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51905.918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56600.758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49355.668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43243.383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48132.11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</row>
    <row r="74">
      <c r="A74" s="5" t="n">
        <v>46054</v>
      </c>
      <c r="B74" s="6" t="n">
        <v>53400</v>
      </c>
      <c r="C74" s="7" t="n">
        <v>53355.34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52389.664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57636.855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49905.004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43862.246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49446.15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</row>
    <row r="75">
      <c r="A75" s="5" t="n">
        <v>46061</v>
      </c>
      <c r="B75" s="6" t="n">
        <v>55100</v>
      </c>
      <c r="C75" s="7" t="n">
        <v>54051.957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53613.69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58608.973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50272.273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44034.562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49088.63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</row>
    <row r="76">
      <c r="A76" s="5" t="n">
        <v>46068</v>
      </c>
      <c r="B76" s="6" t="n">
        <v>55200</v>
      </c>
      <c r="C76" s="7" t="n">
        <v>53633.426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COUNTIF(G76:G85,1)&amp;"/"&amp;COUNT(G76:G85)</f>
        <v/>
      </c>
      <c r="I76" s="6" t="n">
        <v>53650</v>
      </c>
      <c r="J76" s="7" t="n">
        <v>53631.086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COUNTIF(N76:N85,1)&amp;"/"&amp;COUNT(N76:N85)</f>
        <v/>
      </c>
      <c r="P76" s="6" t="n">
        <v>58900</v>
      </c>
      <c r="Q76" s="7" t="n">
        <v>59171.113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COUNTIF(U76:U85,1)&amp;"/"&amp;COUNT(U76:U85)</f>
        <v/>
      </c>
      <c r="W76" s="6" t="n">
        <v>50000</v>
      </c>
      <c r="X76" s="7" t="n">
        <v>47865.625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COUNTIF(AB76:AB85,1)&amp;"/"&amp;COUNT(AB76:AB85)</f>
        <v/>
      </c>
      <c r="AD76" s="6" t="n">
        <v>45266.67</v>
      </c>
      <c r="AE76" s="7" t="n">
        <v>44257.96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COUNTIF(AI76:AI85,1)&amp;"/"&amp;COUNT(AI76:AI85)</f>
        <v/>
      </c>
      <c r="AK76" s="6" t="n">
        <v>49800</v>
      </c>
      <c r="AL76" s="7" t="n">
        <v>47725.55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COUNTIF(AP76:AP85,1)&amp;"/"&amp;COUNT(AP76:AP85)</f>
        <v/>
      </c>
    </row>
    <row r="77">
      <c r="A77" s="5" t="n">
        <v>46075</v>
      </c>
      <c r="B77" s="6" t="n">
        <v>54600</v>
      </c>
      <c r="C77" s="7" t="n">
        <v>54617.402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53809.137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59440.598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48323.082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44201.473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48642.44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</row>
    <row r="78">
      <c r="A78" s="5" t="n">
        <v>46082</v>
      </c>
      <c r="B78" s="6" t="n">
        <v>54000</v>
      </c>
      <c r="C78" s="7" t="n">
        <v>55211.957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53615.82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59377.945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48930.547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44835.945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48933.34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</row>
    <row r="79">
      <c r="A79" s="5" t="n">
        <v>46089</v>
      </c>
      <c r="B79" s="6" t="n">
        <v>54400</v>
      </c>
      <c r="C79" s="7" t="n">
        <v>55322.12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53773.22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59044.81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48829.086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44490.88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48821.445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</row>
    <row r="80">
      <c r="A80" s="5" t="n">
        <v>46096</v>
      </c>
      <c r="B80" s="6" t="n">
        <v>55600</v>
      </c>
      <c r="C80" s="7" t="n">
        <v>55516.3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54520.137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59569.82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49472.51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44514.684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49382.516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</row>
    <row r="81">
      <c r="A81" s="5" t="n">
        <v>46103</v>
      </c>
      <c r="B81" s="6" t="n">
        <v>56900</v>
      </c>
      <c r="C81" s="7" t="n">
        <v>55343.145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55621.87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59906.406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50146.6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44881.56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49537.152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</row>
    <row r="82">
      <c r="A82" s="5" t="n">
        <v>46110</v>
      </c>
      <c r="B82" s="6" t="n">
        <v>58200</v>
      </c>
      <c r="C82" s="7" t="n">
        <v>55655.523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56710.92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60006.645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50184.07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45563.34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49634.656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</row>
    <row r="83">
      <c r="A83" s="5" t="n">
        <v>46117</v>
      </c>
      <c r="B83" s="6" t="n">
        <v>59100</v>
      </c>
      <c r="C83" s="7" t="n">
        <v>56364.57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58071.266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59819.875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50885.98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44913.17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50247.16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</row>
    <row r="84">
      <c r="A84" s="5" t="n">
        <v>46124</v>
      </c>
      <c r="B84" s="6" t="n">
        <v>59500</v>
      </c>
      <c r="C84" s="7" t="n">
        <v>57535.832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59620.625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59973.863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51473.7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46588.17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50853.133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</row>
    <row r="85">
      <c r="A85" s="5" t="n">
        <v>46131</v>
      </c>
      <c r="B85" s="6" t="n">
        <v>59500</v>
      </c>
      <c r="C85" s="7" t="n">
        <v>58102.01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59655.67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60419.523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51569.875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47125.992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51032.89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</row>
  </sheetData>
  <mergeCells count="49">
    <mergeCell ref="AC40:AC51"/>
    <mergeCell ref="I1:O1"/>
    <mergeCell ref="O52:O63"/>
    <mergeCell ref="H16:H27"/>
    <mergeCell ref="AJ64:AJ75"/>
    <mergeCell ref="V16:V27"/>
    <mergeCell ref="H28:H39"/>
    <mergeCell ref="AC52:AC63"/>
    <mergeCell ref="AJ76:AJ85"/>
    <mergeCell ref="H76:H85"/>
    <mergeCell ref="AQ28:AQ39"/>
    <mergeCell ref="AQ40:AQ51"/>
    <mergeCell ref="AJ4:AJ15"/>
    <mergeCell ref="AJ40:AJ51"/>
    <mergeCell ref="V52:V63"/>
    <mergeCell ref="H4:H15"/>
    <mergeCell ref="AJ16:AJ27"/>
    <mergeCell ref="AJ52:AJ63"/>
    <mergeCell ref="AC16:AC27"/>
    <mergeCell ref="V64:V75"/>
    <mergeCell ref="O28:O39"/>
    <mergeCell ref="V76:V85"/>
    <mergeCell ref="AQ76:AQ85"/>
    <mergeCell ref="V4:V15"/>
    <mergeCell ref="P1:V1"/>
    <mergeCell ref="AC28:AC39"/>
    <mergeCell ref="A1:A3"/>
    <mergeCell ref="AQ16:AQ27"/>
    <mergeCell ref="H64:H75"/>
    <mergeCell ref="AC76:AC85"/>
    <mergeCell ref="V28:V39"/>
    <mergeCell ref="AD1:AJ1"/>
    <mergeCell ref="H40:H51"/>
    <mergeCell ref="W1:AC1"/>
    <mergeCell ref="V40:V51"/>
    <mergeCell ref="O4:O15"/>
    <mergeCell ref="H52:H63"/>
    <mergeCell ref="AQ52:AQ63"/>
    <mergeCell ref="B1:H1"/>
    <mergeCell ref="AC64:AC75"/>
    <mergeCell ref="AC4:AC15"/>
    <mergeCell ref="O16:O27"/>
    <mergeCell ref="AQ4:AQ15"/>
    <mergeCell ref="AQ64:AQ75"/>
    <mergeCell ref="O64:O75"/>
    <mergeCell ref="AJ28:AJ39"/>
    <mergeCell ref="O40:O51"/>
    <mergeCell ref="AK1:AQ1"/>
    <mergeCell ref="O76:O8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8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</row>
    <row r="3">
      <c r="D3" s="4">
        <f>AVERAGE(D4:D85)</f>
        <v/>
      </c>
      <c r="E3" s="4">
        <f>AVERAGE(E4:E85)</f>
        <v/>
      </c>
      <c r="F3" s="4">
        <f>AVERAGE(F4:F85)</f>
        <v/>
      </c>
      <c r="G3" s="4">
        <f>AVERAGE(G4:G85)</f>
        <v/>
      </c>
      <c r="K3" s="4">
        <f>AVERAGE(K4:K85)</f>
        <v/>
      </c>
      <c r="L3" s="4">
        <f>AVERAGE(L4:L85)</f>
        <v/>
      </c>
      <c r="M3" s="4">
        <f>AVERAGE(M4:M85)</f>
        <v/>
      </c>
      <c r="N3" s="4">
        <f>AVERAGE(N4:N85)</f>
        <v/>
      </c>
      <c r="R3" s="4">
        <f>AVERAGE(R4:R85)</f>
        <v/>
      </c>
      <c r="S3" s="4">
        <f>AVERAGE(S4:S85)</f>
        <v/>
      </c>
      <c r="T3" s="4">
        <f>AVERAGE(T4:T85)</f>
        <v/>
      </c>
      <c r="U3" s="4">
        <f>AVERAGE(U4:U85)</f>
        <v/>
      </c>
      <c r="Y3" s="4">
        <f>AVERAGE(Y4:Y85)</f>
        <v/>
      </c>
      <c r="Z3" s="4">
        <f>AVERAGE(Z4:Z85)</f>
        <v/>
      </c>
      <c r="AA3" s="4">
        <f>AVERAGE(AA4:AA85)</f>
        <v/>
      </c>
      <c r="AB3" s="4">
        <f>AVERAGE(AB4:AB85)</f>
        <v/>
      </c>
      <c r="AF3" s="4">
        <f>AVERAGE(AF4:AF85)</f>
        <v/>
      </c>
      <c r="AG3" s="4">
        <f>AVERAGE(AG4:AG85)</f>
        <v/>
      </c>
      <c r="AH3" s="4">
        <f>AVERAGE(AH4:AH85)</f>
        <v/>
      </c>
      <c r="AI3" s="4">
        <f>AVERAGE(AI4:AI85)</f>
        <v/>
      </c>
      <c r="AM3" s="4">
        <f>AVERAGE(AM4:AM85)</f>
        <v/>
      </c>
      <c r="AN3" s="4">
        <f>AVERAGE(AN4:AN85)</f>
        <v/>
      </c>
      <c r="AO3" s="4">
        <f>AVERAGE(AO4:AO85)</f>
        <v/>
      </c>
      <c r="AP3" s="4">
        <f>AVERAGE(AP4:AP85)</f>
        <v/>
      </c>
    </row>
    <row r="4">
      <c r="A4" s="5" t="n">
        <v>45564</v>
      </c>
      <c r="B4" s="6" t="n">
        <v>49000</v>
      </c>
      <c r="C4" s="7" t="n">
        <v>52208.75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46949.465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49259.1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46065.33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41461.844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47534.29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</row>
    <row r="5">
      <c r="A5" s="5" t="n">
        <v>45571</v>
      </c>
      <c r="B5" s="6" t="n">
        <v>49000</v>
      </c>
      <c r="C5" s="7" t="n">
        <v>51726.19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46893.816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49865.75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46931.254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44505.914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48532.28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</row>
    <row r="6">
      <c r="A6" s="5" t="n">
        <v>45578</v>
      </c>
      <c r="B6" s="6" t="n">
        <v>49200</v>
      </c>
      <c r="C6" s="7" t="n">
        <v>51651.023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47522.64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52160.168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48097.562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45400.668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50489.24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</row>
    <row r="7">
      <c r="A7" s="5" t="n">
        <v>45585</v>
      </c>
      <c r="B7" s="6" t="n">
        <v>49200</v>
      </c>
      <c r="C7" s="7" t="n">
        <v>51618.453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48459.156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53448.67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48793.555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45439.67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50397.504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</row>
    <row r="8">
      <c r="A8" s="5" t="n">
        <v>45592</v>
      </c>
      <c r="B8" s="6" t="n">
        <v>49200</v>
      </c>
      <c r="C8" s="7" t="n">
        <v>51454.242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48441.203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54151.258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48364.945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44831.29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50046.56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</row>
    <row r="9">
      <c r="A9" s="5" t="n">
        <v>45599</v>
      </c>
      <c r="B9" s="6" t="n">
        <v>49200</v>
      </c>
      <c r="C9" s="7" t="n">
        <v>51292.04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48031.367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54228.133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47700.61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43067.125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48900.285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</row>
    <row r="10">
      <c r="A10" s="5" t="n">
        <v>45606</v>
      </c>
      <c r="B10" s="6" t="n">
        <v>49000</v>
      </c>
      <c r="C10" s="7" t="n">
        <v>51155.74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47901.777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54584.844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47389.734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42874.47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48482.75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</row>
    <row r="11">
      <c r="A11" s="5" t="n">
        <v>45613</v>
      </c>
      <c r="B11" s="6" t="n">
        <v>49000</v>
      </c>
      <c r="C11" s="7" t="n">
        <v>51009.383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48200.074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54429.395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47592.383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43627.223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48441.824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</row>
    <row r="12">
      <c r="A12" s="5" t="n">
        <v>45620</v>
      </c>
      <c r="B12" s="6" t="n">
        <v>49000</v>
      </c>
      <c r="C12" s="7" t="n">
        <v>50881.797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48010.79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53887.61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48171.95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43497.617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48257.2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</row>
    <row r="13">
      <c r="A13" s="5" t="n">
        <v>45627</v>
      </c>
      <c r="B13" s="6" t="n">
        <v>48500</v>
      </c>
      <c r="C13" s="7" t="n">
        <v>50748.25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48029.094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53770.105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48010.77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42409.445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47800.793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</row>
    <row r="14">
      <c r="A14" s="5" t="n">
        <v>45634</v>
      </c>
      <c r="B14" s="6" t="n">
        <v>48200</v>
      </c>
      <c r="C14" s="7" t="n">
        <v>50599.562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47819.242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53516.82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47583.227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40918.305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46997.387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</row>
    <row r="15">
      <c r="A15" s="5" t="n">
        <v>45641</v>
      </c>
      <c r="B15" s="6" t="n">
        <v>48200</v>
      </c>
      <c r="C15" s="7" t="n">
        <v>50532.523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47330.21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52815.707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47606.883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41062.676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46411.32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</row>
    <row r="16">
      <c r="A16" s="5" t="n">
        <v>45648</v>
      </c>
      <c r="B16" s="6" t="n">
        <v>48200</v>
      </c>
      <c r="C16" s="7" t="n">
        <v>51025.727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46979.992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52330.742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46755.695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40330.59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47296.734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</row>
    <row r="17">
      <c r="A17" s="5" t="n">
        <v>45655</v>
      </c>
      <c r="B17" s="6" t="n">
        <v>48100</v>
      </c>
      <c r="C17" s="7" t="n">
        <v>50656.03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46514.316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52259.715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46644.43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39900.094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48212.25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</row>
    <row r="18">
      <c r="A18" s="5" t="n">
        <v>45662</v>
      </c>
      <c r="B18" s="6" t="n">
        <v>48100</v>
      </c>
      <c r="C18" s="7" t="n">
        <v>50224.94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46671.465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52585.414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47456.62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40407.426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48348.543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</row>
    <row r="19">
      <c r="A19" s="5" t="n">
        <v>45669</v>
      </c>
      <c r="B19" s="6" t="n">
        <v>48200</v>
      </c>
      <c r="C19" s="7" t="n">
        <v>49998.777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46572.76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52408.004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47644.867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39752.96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48784.81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</row>
    <row r="20">
      <c r="A20" s="5" t="n">
        <v>45676</v>
      </c>
      <c r="B20" s="6" t="n">
        <v>48500</v>
      </c>
      <c r="C20" s="7" t="n">
        <v>49820.168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46424.137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51950.61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47857.688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40292.008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48816.977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</row>
    <row r="21">
      <c r="A21" s="5" t="n">
        <v>45683</v>
      </c>
      <c r="B21" s="6" t="n">
        <v>48400</v>
      </c>
      <c r="C21" s="7" t="n">
        <v>49754.59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46310.484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51790.645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47472.15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39680.996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48945.043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</row>
    <row r="22">
      <c r="A22" s="5" t="n">
        <v>45690</v>
      </c>
      <c r="B22" s="6" t="n">
        <v>48600</v>
      </c>
      <c r="C22" s="7" t="n">
        <v>49554.887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46749.47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51664.54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47362.58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39844.87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48975.2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</row>
    <row r="23">
      <c r="A23" s="5" t="n">
        <v>45697</v>
      </c>
      <c r="B23" s="6" t="n">
        <v>49000</v>
      </c>
      <c r="C23" s="7" t="n">
        <v>49453.875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48057.13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52191.734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47238.703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39834.496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49376.477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</row>
    <row r="24">
      <c r="A24" s="5" t="n">
        <v>45704</v>
      </c>
      <c r="B24" s="6" t="n">
        <v>49000</v>
      </c>
      <c r="C24" s="7" t="n">
        <v>49485.57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48222.65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52235.203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47397.87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40832.715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49282.16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</row>
    <row r="25">
      <c r="A25" s="5" t="n">
        <v>45711</v>
      </c>
      <c r="B25" s="6" t="n">
        <v>49000</v>
      </c>
      <c r="C25" s="7" t="n">
        <v>49253.8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48294.51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52259.4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47332.33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40647.65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49408.867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</row>
    <row r="26">
      <c r="A26" s="5" t="n">
        <v>45718</v>
      </c>
      <c r="B26" s="6" t="n">
        <v>49000</v>
      </c>
      <c r="C26" s="7" t="n">
        <v>48971.16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48249.76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52997.008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48045.105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41668.938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49326.613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</row>
    <row r="27">
      <c r="A27" s="5" t="n">
        <v>45725</v>
      </c>
      <c r="B27" s="6" t="n">
        <v>49000</v>
      </c>
      <c r="C27" s="7" t="n">
        <v>48704.043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48149.98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54304.395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48743.83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41726.99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49486.242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</row>
    <row r="28">
      <c r="A28" s="5" t="n">
        <v>45732</v>
      </c>
      <c r="B28" s="6" t="n">
        <v>49500</v>
      </c>
      <c r="C28" s="7" t="n">
        <v>49675.37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48618.6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54629.434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48746.613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42770.2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48305.184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</row>
    <row r="29">
      <c r="A29" s="5" t="n">
        <v>45739</v>
      </c>
      <c r="B29" s="6" t="n">
        <v>49600</v>
      </c>
      <c r="C29" s="7" t="n">
        <v>49637.434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49454.17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55282.418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49181.082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42735.13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48458.75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</row>
    <row r="30">
      <c r="A30" s="5" t="n">
        <v>45746</v>
      </c>
      <c r="B30" s="6" t="n">
        <v>51500</v>
      </c>
      <c r="C30" s="7" t="n">
        <v>49507.84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50500.574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56560.445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49379.5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42839.844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49476.184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</row>
    <row r="31">
      <c r="A31" s="5" t="n">
        <v>45753</v>
      </c>
      <c r="B31" s="6" t="n">
        <v>52000</v>
      </c>
      <c r="C31" s="7" t="n">
        <v>50868.68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51849.363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57664.19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49791.27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43235.848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49753.855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</row>
    <row r="32">
      <c r="A32" s="5" t="n">
        <v>45760</v>
      </c>
      <c r="B32" s="6" t="n">
        <v>51500</v>
      </c>
      <c r="C32" s="7" t="n">
        <v>51613.617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52323.867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57839.883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50501.21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43260.477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50291.484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</row>
    <row r="33">
      <c r="A33" s="5" t="n">
        <v>45767</v>
      </c>
      <c r="B33" s="6" t="n">
        <v>51500</v>
      </c>
      <c r="C33" s="7" t="n">
        <v>50744.44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51805.27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57601.04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50910.92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44068.14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49849.547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</row>
    <row r="34">
      <c r="A34" s="5" t="n">
        <v>45774</v>
      </c>
      <c r="B34" s="6" t="n">
        <v>52500</v>
      </c>
      <c r="C34" s="7" t="n">
        <v>50689.71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51247.434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57287.348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50712.73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44159.3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49074.336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</row>
    <row r="35">
      <c r="A35" s="5" t="n">
        <v>45781</v>
      </c>
      <c r="B35" s="6" t="n">
        <v>53000</v>
      </c>
      <c r="C35" s="7" t="n">
        <v>52645.957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51895.52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57021.25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50477.89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43607.11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48514.223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</row>
    <row r="36">
      <c r="A36" s="5" t="n">
        <v>45788</v>
      </c>
      <c r="B36" s="6" t="n">
        <v>53000</v>
      </c>
      <c r="C36" s="7" t="n">
        <v>53507.32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52669.55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56726.418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50249.523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43688.188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48106.652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</row>
    <row r="37">
      <c r="A37" s="5" t="n">
        <v>45795</v>
      </c>
      <c r="B37" s="6" t="n">
        <v>53300</v>
      </c>
      <c r="C37" s="7" t="n">
        <v>53562.258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52277.883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56315.023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49715.543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43505.324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48056.17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</row>
    <row r="38">
      <c r="A38" s="5" t="n">
        <v>45802</v>
      </c>
      <c r="B38" s="6" t="n">
        <v>52800</v>
      </c>
      <c r="C38" s="7" t="n">
        <v>54008.25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51716.207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55908.28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48648.65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43612.22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48050.14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</row>
    <row r="39">
      <c r="A39" s="5" t="n">
        <v>45809</v>
      </c>
      <c r="B39" s="6" t="n">
        <v>52000</v>
      </c>
      <c r="C39" s="7" t="n">
        <v>53795.414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51662.953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55393.074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48139.12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43573.426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47754.64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</row>
    <row r="40">
      <c r="A40" s="5" t="n">
        <v>45816</v>
      </c>
      <c r="B40" s="6" t="n">
        <v>52000</v>
      </c>
      <c r="C40" s="7" t="n">
        <v>52087.043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51116.98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52943.785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47260.004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42611.473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46376.79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</row>
    <row r="41">
      <c r="A41" s="5" t="n">
        <v>45823</v>
      </c>
      <c r="B41" s="6" t="n">
        <v>52000</v>
      </c>
      <c r="C41" s="7" t="n">
        <v>51937.49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51140.664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52080.14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45789.312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41941.406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46128.918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</row>
    <row r="42">
      <c r="A42" s="5" t="n">
        <v>45830</v>
      </c>
      <c r="B42" s="6" t="n">
        <v>52000</v>
      </c>
      <c r="C42" s="7" t="n">
        <v>51811.805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50893.76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51184.742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45390.34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41164.074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45784.832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</row>
    <row r="43">
      <c r="A43" s="5" t="n">
        <v>45837</v>
      </c>
      <c r="B43" s="6" t="n">
        <v>51900</v>
      </c>
      <c r="C43" s="7" t="n">
        <v>51669.07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50511.746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50450.17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44969.3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40383.785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45796.125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</row>
    <row r="44">
      <c r="A44" s="5" t="n">
        <v>45844</v>
      </c>
      <c r="B44" s="6" t="n">
        <v>51600</v>
      </c>
      <c r="C44" s="7" t="n">
        <v>51723.87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50460.33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49914.938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44626.387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40160.55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45665.527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</row>
    <row r="45">
      <c r="A45" s="5" t="n">
        <v>45851</v>
      </c>
      <c r="B45" s="6" t="n">
        <v>51000</v>
      </c>
      <c r="C45" s="7" t="n">
        <v>51629.46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50055.39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49503.26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44275.566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39971.55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45564.766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</row>
    <row r="46">
      <c r="A46" s="5" t="n">
        <v>45858</v>
      </c>
      <c r="B46" s="6" t="n">
        <v>50500</v>
      </c>
      <c r="C46" s="7" t="n">
        <v>51108.977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49333.027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49203.992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43930.15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39788.15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45352.93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</row>
    <row r="47">
      <c r="A47" s="5" t="n">
        <v>45865</v>
      </c>
      <c r="B47" s="6" t="n">
        <v>50000</v>
      </c>
      <c r="C47" s="7" t="n">
        <v>50818.81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48822.895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49039.66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43553.023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39922.258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44922.574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</row>
    <row r="48">
      <c r="A48" s="5" t="n">
        <v>45872</v>
      </c>
      <c r="B48" s="6" t="n">
        <v>50000</v>
      </c>
      <c r="C48" s="7" t="n">
        <v>50795.35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48379.668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49336.586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43217.715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40094.65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44995.516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</row>
    <row r="49">
      <c r="A49" s="5" t="n">
        <v>45879</v>
      </c>
      <c r="B49" s="6" t="n">
        <v>50300</v>
      </c>
      <c r="C49" s="7" t="n">
        <v>50702.637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48977.62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49834.555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43033.38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40963.66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44960.918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</row>
    <row r="50">
      <c r="A50" s="5" t="n">
        <v>45886</v>
      </c>
      <c r="B50" s="6" t="n">
        <v>50500</v>
      </c>
      <c r="C50" s="7" t="n">
        <v>50523.67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49990.332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49759.688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43637.547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41029.312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44859.473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</row>
    <row r="51">
      <c r="A51" s="5" t="n">
        <v>45893</v>
      </c>
      <c r="B51" s="6" t="n">
        <v>50500</v>
      </c>
      <c r="C51" s="7" t="n">
        <v>50498.19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49662.03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49612.02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45367.684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40837.695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44737.508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</row>
    <row r="52">
      <c r="A52" s="5" t="n">
        <v>45900</v>
      </c>
      <c r="B52" s="6" t="n">
        <v>50700</v>
      </c>
      <c r="C52" s="7" t="n">
        <v>50821.793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49874.617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46968.92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45367.996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38932.707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44488.035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</row>
    <row r="53">
      <c r="A53" s="5" t="n">
        <v>45907</v>
      </c>
      <c r="B53" s="6" t="n">
        <v>50800</v>
      </c>
      <c r="C53" s="7" t="n">
        <v>51087.66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49575.215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46783.613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45225.387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39105.777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44069.53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</row>
    <row r="54">
      <c r="A54" s="5" t="n">
        <v>45914</v>
      </c>
      <c r="B54" s="6" t="n">
        <v>50500</v>
      </c>
      <c r="C54" s="7" t="n">
        <v>51237.484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49686.332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46538.21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44647.086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38594.49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43821.41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</row>
    <row r="55">
      <c r="A55" s="5" t="n">
        <v>45921</v>
      </c>
      <c r="B55" s="6" t="n">
        <v>50000</v>
      </c>
      <c r="C55" s="7" t="n">
        <v>50916.18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49349.742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46282.406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44514.402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38530.277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43967.36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</row>
    <row r="56">
      <c r="A56" s="5" t="n">
        <v>45928</v>
      </c>
      <c r="B56" s="6" t="n">
        <v>50000</v>
      </c>
      <c r="C56" s="7" t="n">
        <v>50408.098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49042.992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46190.47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44305.63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38847.22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43711.516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</row>
    <row r="57">
      <c r="A57" s="5" t="n">
        <v>45935</v>
      </c>
      <c r="B57" s="6" t="n">
        <v>50000</v>
      </c>
      <c r="C57" s="7" t="n">
        <v>50419.906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48755.547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46618.863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44356.61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38519.996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43553.746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</row>
    <row r="58">
      <c r="A58" s="5" t="n">
        <v>45942</v>
      </c>
      <c r="B58" s="6" t="n">
        <v>49800</v>
      </c>
      <c r="C58" s="7" t="n">
        <v>50462.617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48395.344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46691.465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44064.902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38722.645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43298.496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</row>
    <row r="59">
      <c r="A59" s="5" t="n">
        <v>45949</v>
      </c>
      <c r="B59" s="6" t="n">
        <v>49000</v>
      </c>
      <c r="C59" s="7" t="n">
        <v>50245.18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48303.477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46631.613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43748.086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38546.86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43046.168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</row>
    <row r="60">
      <c r="A60" s="5" t="n">
        <v>45956</v>
      </c>
      <c r="B60" s="6" t="n">
        <v>49000</v>
      </c>
      <c r="C60" s="7" t="n">
        <v>49292.047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47774.41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46531.766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43568.934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38364.11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42793.43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</row>
    <row r="61">
      <c r="A61" s="5" t="n">
        <v>45963</v>
      </c>
      <c r="B61" s="6" t="n">
        <v>49000</v>
      </c>
      <c r="C61" s="7" t="n">
        <v>49233.652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47756.074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46884.477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43414.438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38206.555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42650.016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</row>
    <row r="62">
      <c r="A62" s="5" t="n">
        <v>45970</v>
      </c>
      <c r="B62" s="6" t="n">
        <v>49600</v>
      </c>
      <c r="C62" s="7" t="n">
        <v>49151.496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47132.51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47204.81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43078.14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38058.332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43062.785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</row>
    <row r="63">
      <c r="A63" s="5" t="n">
        <v>45977</v>
      </c>
      <c r="B63" s="6" t="n">
        <v>49600</v>
      </c>
      <c r="C63" s="7" t="n">
        <v>49848.33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47640.78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46696.426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43035.812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38021.023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43156.004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</row>
    <row r="64">
      <c r="A64" s="5" t="n">
        <v>45984</v>
      </c>
      <c r="B64" s="6" t="n">
        <v>49000</v>
      </c>
      <c r="C64" s="7" t="n">
        <v>48879.66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46565.168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46977.676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43560.06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37321.203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43301.773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</row>
    <row r="65">
      <c r="A65" s="5" t="n">
        <v>45991</v>
      </c>
      <c r="B65" s="6" t="n">
        <v>48600</v>
      </c>
      <c r="C65" s="7" t="n">
        <v>48102.516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46111.26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46733.11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43113.12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37204.113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43320.645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</row>
    <row r="66">
      <c r="A66" s="5" t="n">
        <v>45998</v>
      </c>
      <c r="B66" s="6" t="n">
        <v>46700</v>
      </c>
      <c r="C66" s="7" t="n">
        <v>47698.918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45928.59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47098.25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43087.965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37322.56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43430.44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</row>
    <row r="67">
      <c r="A67" s="5" t="n">
        <v>46005</v>
      </c>
      <c r="B67" s="6" t="n">
        <v>46800</v>
      </c>
      <c r="C67" s="7" t="n">
        <v>47077.06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45805.88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47474.98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42884.152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37371.49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43887.992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</row>
    <row r="68">
      <c r="A68" s="5" t="n">
        <v>46012</v>
      </c>
      <c r="B68" s="6" t="n">
        <v>46800</v>
      </c>
      <c r="C68" s="7" t="n">
        <v>46922.473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46228.406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47495.46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43403.867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38419.656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43968.387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</row>
    <row r="69">
      <c r="A69" s="5" t="n">
        <v>46019</v>
      </c>
      <c r="B69" s="6" t="n">
        <v>48000</v>
      </c>
      <c r="C69" s="7" t="n">
        <v>46679.848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47251.77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48649.766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43928.062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38621.53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44450.926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</row>
    <row r="70">
      <c r="A70" s="5" t="n">
        <v>46026</v>
      </c>
      <c r="B70" s="6" t="n">
        <v>50400</v>
      </c>
      <c r="C70" s="7" t="n">
        <v>47222.75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49190.805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51205.434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44370.52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39378.492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45573.695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</row>
    <row r="71">
      <c r="A71" s="5" t="n">
        <v>46033</v>
      </c>
      <c r="B71" s="6" t="n">
        <v>51400</v>
      </c>
      <c r="C71" s="7" t="n">
        <v>49929.992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51593.51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51938.62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46877.727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48803.707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48664.562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</row>
    <row r="72">
      <c r="A72" s="5" t="n">
        <v>46040</v>
      </c>
      <c r="B72" s="6" t="n">
        <v>52000</v>
      </c>
      <c r="C72" s="7" t="n">
        <v>51002.01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51248.574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53021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47329.973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47595.53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48552.508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</row>
    <row r="73">
      <c r="A73" s="5" t="n">
        <v>46047</v>
      </c>
      <c r="B73" s="6" t="n">
        <v>53000</v>
      </c>
      <c r="C73" s="7" t="n">
        <v>51434.977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51959.504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54273.863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48132.984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47797.734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48567.742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</row>
    <row r="74">
      <c r="A74" s="5" t="n">
        <v>46054</v>
      </c>
      <c r="B74" s="6" t="n">
        <v>53400</v>
      </c>
      <c r="C74" s="7" t="n">
        <v>51994.4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52501.07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55575.277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49047.938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48311.74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48734.137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</row>
    <row r="75">
      <c r="A75" s="5" t="n">
        <v>46061</v>
      </c>
      <c r="B75" s="6" t="n">
        <v>55100</v>
      </c>
      <c r="C75" s="7" t="n">
        <v>52365.83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53290.24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56762.773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49620.516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48125.117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48782.473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</row>
    <row r="76">
      <c r="A76" s="5" t="n">
        <v>46068</v>
      </c>
      <c r="B76" s="6" t="n">
        <v>55200</v>
      </c>
      <c r="C76" s="7" t="n">
        <v>53746.137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COUNTIF(G76:G85,1)&amp;"/"&amp;COUNT(G76:G85)</f>
        <v/>
      </c>
      <c r="I76" s="6" t="n">
        <v>53650</v>
      </c>
      <c r="J76" s="7" t="n">
        <v>53867.594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COUNTIF(N76:N85,1)&amp;"/"&amp;COUNT(N76:N85)</f>
        <v/>
      </c>
      <c r="P76" s="6" t="n">
        <v>58900</v>
      </c>
      <c r="Q76" s="7" t="n">
        <v>61485.53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COUNTIF(U76:U85,1)&amp;"/"&amp;COUNT(U76:U85)</f>
        <v/>
      </c>
      <c r="W76" s="6" t="n">
        <v>50000</v>
      </c>
      <c r="X76" s="7" t="n">
        <v>49500.26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COUNTIF(AB76:AB85,1)&amp;"/"&amp;COUNT(AB76:AB85)</f>
        <v/>
      </c>
      <c r="AD76" s="6" t="n">
        <v>45266.67</v>
      </c>
      <c r="AE76" s="7" t="n">
        <v>43876.332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COUNTIF(AI76:AI85,1)&amp;"/"&amp;COUNT(AI76:AI85)</f>
        <v/>
      </c>
      <c r="AK76" s="6" t="n">
        <v>49800</v>
      </c>
      <c r="AL76" s="7" t="n">
        <v>48746.31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COUNTIF(AP76:AP85,1)&amp;"/"&amp;COUNT(AP76:AP85)</f>
        <v/>
      </c>
    </row>
    <row r="77">
      <c r="A77" s="5" t="n">
        <v>46075</v>
      </c>
      <c r="B77" s="6" t="n">
        <v>54600</v>
      </c>
      <c r="C77" s="7" t="n">
        <v>54170.76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53507.1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61925.934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49056.203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43881.68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48942.117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</row>
    <row r="78">
      <c r="A78" s="5" t="n">
        <v>46082</v>
      </c>
      <c r="B78" s="6" t="n">
        <v>54000</v>
      </c>
      <c r="C78" s="7" t="n">
        <v>54136.938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53569.777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61867.516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48456.12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43784.258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48695.188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</row>
    <row r="79">
      <c r="A79" s="5" t="n">
        <v>46089</v>
      </c>
      <c r="B79" s="6" t="n">
        <v>54400</v>
      </c>
      <c r="C79" s="7" t="n">
        <v>53909.098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53847.945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61527.652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48032.8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43860.465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48380.16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</row>
    <row r="80">
      <c r="A80" s="5" t="n">
        <v>46096</v>
      </c>
      <c r="B80" s="6" t="n">
        <v>55600</v>
      </c>
      <c r="C80" s="7" t="n">
        <v>54058.914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54785.883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61697.74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48889.04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44795.06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49281.402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</row>
    <row r="81">
      <c r="A81" s="5" t="n">
        <v>46103</v>
      </c>
      <c r="B81" s="6" t="n">
        <v>56900</v>
      </c>
      <c r="C81" s="7" t="n">
        <v>54762.805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55919.465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61399.223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49665.23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45274.246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49488.92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</row>
    <row r="82">
      <c r="A82" s="5" t="n">
        <v>46110</v>
      </c>
      <c r="B82" s="6" t="n">
        <v>58200</v>
      </c>
      <c r="C82" s="7" t="n">
        <v>55676.25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56672.258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60937.203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49603.777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45509.297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49604.473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</row>
    <row r="83">
      <c r="A83" s="5" t="n">
        <v>46117</v>
      </c>
      <c r="B83" s="6" t="n">
        <v>59100</v>
      </c>
      <c r="C83" s="7" t="n">
        <v>56575.21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57655.28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60086.29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49598.992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45404.72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49680.824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</row>
    <row r="84">
      <c r="A84" s="5" t="n">
        <v>46124</v>
      </c>
      <c r="B84" s="6" t="n">
        <v>59500</v>
      </c>
      <c r="C84" s="7" t="n">
        <v>57149.65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59464.594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59784.1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51276.773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47051.08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50577.312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</row>
    <row r="85">
      <c r="A85" s="5" t="n">
        <v>46131</v>
      </c>
      <c r="B85" s="6" t="n">
        <v>59500</v>
      </c>
      <c r="C85" s="7" t="n">
        <v>57327.57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59457.445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59639.863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52703.2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47206.92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51196.34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</row>
  </sheetData>
  <mergeCells count="49">
    <mergeCell ref="AC40:AC51"/>
    <mergeCell ref="I1:O1"/>
    <mergeCell ref="O52:O63"/>
    <mergeCell ref="H16:H27"/>
    <mergeCell ref="AJ64:AJ75"/>
    <mergeCell ref="V16:V27"/>
    <mergeCell ref="H28:H39"/>
    <mergeCell ref="AC52:AC63"/>
    <mergeCell ref="AJ76:AJ85"/>
    <mergeCell ref="H76:H85"/>
    <mergeCell ref="AQ28:AQ39"/>
    <mergeCell ref="AQ40:AQ51"/>
    <mergeCell ref="AJ4:AJ15"/>
    <mergeCell ref="AJ40:AJ51"/>
    <mergeCell ref="V52:V63"/>
    <mergeCell ref="H4:H15"/>
    <mergeCell ref="AJ16:AJ27"/>
    <mergeCell ref="AJ52:AJ63"/>
    <mergeCell ref="AC16:AC27"/>
    <mergeCell ref="V64:V75"/>
    <mergeCell ref="O28:O39"/>
    <mergeCell ref="V76:V85"/>
    <mergeCell ref="AQ76:AQ85"/>
    <mergeCell ref="V4:V15"/>
    <mergeCell ref="P1:V1"/>
    <mergeCell ref="AC28:AC39"/>
    <mergeCell ref="A1:A3"/>
    <mergeCell ref="AQ16:AQ27"/>
    <mergeCell ref="H64:H75"/>
    <mergeCell ref="AC76:AC85"/>
    <mergeCell ref="V28:V39"/>
    <mergeCell ref="AD1:AJ1"/>
    <mergeCell ref="H40:H51"/>
    <mergeCell ref="W1:AC1"/>
    <mergeCell ref="V40:V51"/>
    <mergeCell ref="O4:O15"/>
    <mergeCell ref="H52:H63"/>
    <mergeCell ref="AQ52:AQ63"/>
    <mergeCell ref="B1:H1"/>
    <mergeCell ref="AC64:AC75"/>
    <mergeCell ref="AC4:AC15"/>
    <mergeCell ref="O16:O27"/>
    <mergeCell ref="AQ4:AQ15"/>
    <mergeCell ref="AQ64:AQ75"/>
    <mergeCell ref="O64:O75"/>
    <mergeCell ref="AJ28:AJ39"/>
    <mergeCell ref="O40:O51"/>
    <mergeCell ref="AK1:AQ1"/>
    <mergeCell ref="O76:O8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8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</row>
    <row r="3">
      <c r="D3" s="4">
        <f>AVERAGE(D4:D85)</f>
        <v/>
      </c>
      <c r="E3" s="4">
        <f>AVERAGE(E4:E85)</f>
        <v/>
      </c>
      <c r="F3" s="4">
        <f>AVERAGE(F4:F85)</f>
        <v/>
      </c>
      <c r="G3" s="4">
        <f>AVERAGE(G4:G85)</f>
        <v/>
      </c>
      <c r="K3" s="4">
        <f>AVERAGE(K4:K85)</f>
        <v/>
      </c>
      <c r="L3" s="4">
        <f>AVERAGE(L4:L85)</f>
        <v/>
      </c>
      <c r="M3" s="4">
        <f>AVERAGE(M4:M85)</f>
        <v/>
      </c>
      <c r="N3" s="4">
        <f>AVERAGE(N4:N85)</f>
        <v/>
      </c>
      <c r="R3" s="4">
        <f>AVERAGE(R4:R85)</f>
        <v/>
      </c>
      <c r="S3" s="4">
        <f>AVERAGE(S4:S85)</f>
        <v/>
      </c>
      <c r="T3" s="4">
        <f>AVERAGE(T4:T85)</f>
        <v/>
      </c>
      <c r="U3" s="4">
        <f>AVERAGE(U4:U85)</f>
        <v/>
      </c>
      <c r="Y3" s="4">
        <f>AVERAGE(Y4:Y85)</f>
        <v/>
      </c>
      <c r="Z3" s="4">
        <f>AVERAGE(Z4:Z85)</f>
        <v/>
      </c>
      <c r="AA3" s="4">
        <f>AVERAGE(AA4:AA85)</f>
        <v/>
      </c>
      <c r="AB3" s="4">
        <f>AVERAGE(AB4:AB85)</f>
        <v/>
      </c>
      <c r="AF3" s="4">
        <f>AVERAGE(AF4:AF85)</f>
        <v/>
      </c>
      <c r="AG3" s="4">
        <f>AVERAGE(AG4:AG85)</f>
        <v/>
      </c>
      <c r="AH3" s="4">
        <f>AVERAGE(AH4:AH85)</f>
        <v/>
      </c>
      <c r="AI3" s="4">
        <f>AVERAGE(AI4:AI85)</f>
        <v/>
      </c>
      <c r="AM3" s="4">
        <f>AVERAGE(AM4:AM85)</f>
        <v/>
      </c>
      <c r="AN3" s="4">
        <f>AVERAGE(AN4:AN85)</f>
        <v/>
      </c>
      <c r="AO3" s="4">
        <f>AVERAGE(AO4:AO85)</f>
        <v/>
      </c>
      <c r="AP3" s="4">
        <f>AVERAGE(AP4:AP85)</f>
        <v/>
      </c>
    </row>
    <row r="4">
      <c r="A4" s="5" t="n">
        <v>45564</v>
      </c>
      <c r="B4" s="6" t="n">
        <v>49000</v>
      </c>
      <c r="C4" s="7" t="n">
        <v>50500.535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46562.75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49329.113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44899.016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40748.742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46318.8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</row>
    <row r="5">
      <c r="A5" s="5" t="n">
        <v>45571</v>
      </c>
      <c r="B5" s="6" t="n">
        <v>49000</v>
      </c>
      <c r="C5" s="7" t="n">
        <v>48829.54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46868.984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49533.902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45769.625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43447.68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48409.375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</row>
    <row r="6">
      <c r="A6" s="5" t="n">
        <v>45578</v>
      </c>
      <c r="B6" s="6" t="n">
        <v>49200</v>
      </c>
      <c r="C6" s="7" t="n">
        <v>48845.97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47787.17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51727.305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47492.945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45391.344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50493.438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</row>
    <row r="7">
      <c r="A7" s="5" t="n">
        <v>45585</v>
      </c>
      <c r="B7" s="6" t="n">
        <v>49200</v>
      </c>
      <c r="C7" s="7" t="n">
        <v>49089.86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48716.96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53058.49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48563.93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44906.625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50303.42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</row>
    <row r="8">
      <c r="A8" s="5" t="n">
        <v>45592</v>
      </c>
      <c r="B8" s="6" t="n">
        <v>49200</v>
      </c>
      <c r="C8" s="7" t="n">
        <v>49033.83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48447.01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54109.273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47686.062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43929.69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49728.984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</row>
    <row r="9">
      <c r="A9" s="5" t="n">
        <v>45599</v>
      </c>
      <c r="B9" s="6" t="n">
        <v>49200</v>
      </c>
      <c r="C9" s="7" t="n">
        <v>48974.375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48069.562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54279.746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46870.29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42568.75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48752.45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</row>
    <row r="10">
      <c r="A10" s="5" t="n">
        <v>45606</v>
      </c>
      <c r="B10" s="6" t="n">
        <v>49000</v>
      </c>
      <c r="C10" s="7" t="n">
        <v>49091.484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47963.176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55141.61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46918.188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42440.83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48337.395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</row>
    <row r="11">
      <c r="A11" s="5" t="n">
        <v>45613</v>
      </c>
      <c r="B11" s="6" t="n">
        <v>49000</v>
      </c>
      <c r="C11" s="7" t="n">
        <v>49014.496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48325.207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55061.258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47432.77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42878.18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48375.51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</row>
    <row r="12">
      <c r="A12" s="5" t="n">
        <v>45620</v>
      </c>
      <c r="B12" s="6" t="n">
        <v>49000</v>
      </c>
      <c r="C12" s="7" t="n">
        <v>49059.99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47885.164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54282.754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47900.434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42851.484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48299.152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</row>
    <row r="13">
      <c r="A13" s="5" t="n">
        <v>45627</v>
      </c>
      <c r="B13" s="6" t="n">
        <v>48500</v>
      </c>
      <c r="C13" s="7" t="n">
        <v>48979.363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47943.43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54088.492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47813.992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42148.543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47823.62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</row>
    <row r="14">
      <c r="A14" s="5" t="n">
        <v>45634</v>
      </c>
      <c r="B14" s="6" t="n">
        <v>48200</v>
      </c>
      <c r="C14" s="7" t="n">
        <v>48589.562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47638.562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53957.16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47270.336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41215.535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46984.637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</row>
    <row r="15">
      <c r="A15" s="5" t="n">
        <v>45641</v>
      </c>
      <c r="B15" s="6" t="n">
        <v>48200</v>
      </c>
      <c r="C15" s="7" t="n">
        <v>48296.625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47060.355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52832.543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47513.195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42186.293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46994.7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</row>
    <row r="16">
      <c r="A16" s="5" t="n">
        <v>45648</v>
      </c>
      <c r="B16" s="6" t="n">
        <v>48200</v>
      </c>
      <c r="C16" s="7" t="n">
        <v>48345.582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46843.18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51992.56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46758.8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42466.1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47309.89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</row>
    <row r="17">
      <c r="A17" s="5" t="n">
        <v>45655</v>
      </c>
      <c r="B17" s="6" t="n">
        <v>48100</v>
      </c>
      <c r="C17" s="7" t="n">
        <v>48210.3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46236.17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51690.2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46507.723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42196.055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47534.434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</row>
    <row r="18">
      <c r="A18" s="5" t="n">
        <v>45662</v>
      </c>
      <c r="B18" s="6" t="n">
        <v>48100</v>
      </c>
      <c r="C18" s="7" t="n">
        <v>47852.758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46740.527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52405.91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47554.52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43051.387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47019.31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</row>
    <row r="19">
      <c r="A19" s="5" t="n">
        <v>45669</v>
      </c>
      <c r="B19" s="6" t="n">
        <v>48200</v>
      </c>
      <c r="C19" s="7" t="n">
        <v>48007.258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46511.7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51987.887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47605.3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42225.81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47242.863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</row>
    <row r="20">
      <c r="A20" s="5" t="n">
        <v>45676</v>
      </c>
      <c r="B20" s="6" t="n">
        <v>48500</v>
      </c>
      <c r="C20" s="7" t="n">
        <v>47992.574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46443.227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51355.426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47683.13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42573.324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46891.953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</row>
    <row r="21">
      <c r="A21" s="5" t="n">
        <v>45683</v>
      </c>
      <c r="B21" s="6" t="n">
        <v>48400</v>
      </c>
      <c r="C21" s="7" t="n">
        <v>48318.395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46343.113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51566.176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47161.25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41815.18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46649.664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</row>
    <row r="22">
      <c r="A22" s="5" t="n">
        <v>45690</v>
      </c>
      <c r="B22" s="6" t="n">
        <v>48600</v>
      </c>
      <c r="C22" s="7" t="n">
        <v>48216.867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47074.06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51906.53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46790.35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41663.152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46331.375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</row>
    <row r="23">
      <c r="A23" s="5" t="n">
        <v>45697</v>
      </c>
      <c r="B23" s="6" t="n">
        <v>49000</v>
      </c>
      <c r="C23" s="7" t="n">
        <v>48323.56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48565.492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52859.688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46964.824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42096.676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47546.164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</row>
    <row r="24">
      <c r="A24" s="5" t="n">
        <v>45704</v>
      </c>
      <c r="B24" s="6" t="n">
        <v>49000</v>
      </c>
      <c r="C24" s="7" t="n">
        <v>48923.6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48717.848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52789.496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47357.508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42781.51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47257.527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</row>
    <row r="25">
      <c r="A25" s="5" t="n">
        <v>45711</v>
      </c>
      <c r="B25" s="6" t="n">
        <v>49000</v>
      </c>
      <c r="C25" s="7" t="n">
        <v>48975.152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48423.25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52840.754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47287.652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42024.08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47734.42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</row>
    <row r="26">
      <c r="A26" s="5" t="n">
        <v>45718</v>
      </c>
      <c r="B26" s="6" t="n">
        <v>49000</v>
      </c>
      <c r="C26" s="7" t="n">
        <v>48965.473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48294.617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53500.207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47933.664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42265.973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47429.637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</row>
    <row r="27">
      <c r="A27" s="5" t="n">
        <v>45725</v>
      </c>
      <c r="B27" s="6" t="n">
        <v>49000</v>
      </c>
      <c r="C27" s="7" t="n">
        <v>49081.676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48088.883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54660.355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48839.34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41814.28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47930.402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</row>
    <row r="28">
      <c r="A28" s="5" t="n">
        <v>45732</v>
      </c>
      <c r="B28" s="6" t="n">
        <v>49500</v>
      </c>
      <c r="C28" s="7" t="n">
        <v>49125.7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48732.875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54318.062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48620.555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43230.906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47708.88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</row>
    <row r="29">
      <c r="A29" s="5" t="n">
        <v>45739</v>
      </c>
      <c r="B29" s="6" t="n">
        <v>49600</v>
      </c>
      <c r="C29" s="7" t="n">
        <v>49466.516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49693.004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54887.504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48981.832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43645.797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47922.863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</row>
    <row r="30">
      <c r="A30" s="5" t="n">
        <v>45746</v>
      </c>
      <c r="B30" s="6" t="n">
        <v>51500</v>
      </c>
      <c r="C30" s="7" t="n">
        <v>49530.742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50682.93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56022.23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49224.87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43560.61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49478.414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</row>
    <row r="31">
      <c r="A31" s="5" t="n">
        <v>45753</v>
      </c>
      <c r="B31" s="6" t="n">
        <v>52000</v>
      </c>
      <c r="C31" s="7" t="n">
        <v>51531.773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52337.77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57233.094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49236.207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44752.445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49822.242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</row>
    <row r="32">
      <c r="A32" s="5" t="n">
        <v>45760</v>
      </c>
      <c r="B32" s="6" t="n">
        <v>51500</v>
      </c>
      <c r="C32" s="7" t="n">
        <v>52094.22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52441.344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57404.496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48946.84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45216.477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50086.04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</row>
    <row r="33">
      <c r="A33" s="5" t="n">
        <v>45767</v>
      </c>
      <c r="B33" s="6" t="n">
        <v>51500</v>
      </c>
      <c r="C33" s="7" t="n">
        <v>51360.066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51629.035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56991.234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49252.547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46585.742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50402.25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</row>
    <row r="34">
      <c r="A34" s="5" t="n">
        <v>45774</v>
      </c>
      <c r="B34" s="6" t="n">
        <v>52500</v>
      </c>
      <c r="C34" s="7" t="n">
        <v>51275.023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51231.582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56758.13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49213.477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46414.523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50031.74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</row>
    <row r="35">
      <c r="A35" s="5" t="n">
        <v>45781</v>
      </c>
      <c r="B35" s="6" t="n">
        <v>53000</v>
      </c>
      <c r="C35" s="7" t="n">
        <v>52229.344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52390.07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56912.23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49436.734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46049.96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49970.734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</row>
    <row r="36">
      <c r="A36" s="5" t="n">
        <v>45788</v>
      </c>
      <c r="B36" s="6" t="n">
        <v>53000</v>
      </c>
      <c r="C36" s="7" t="n">
        <v>52810.01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53070.984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56799.684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49693.99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45849.68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49325.246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</row>
    <row r="37">
      <c r="A37" s="5" t="n">
        <v>45795</v>
      </c>
      <c r="B37" s="6" t="n">
        <v>53300</v>
      </c>
      <c r="C37" s="7" t="n">
        <v>53151.074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52209.11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56358.523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49283.254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45213.367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48734.41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</row>
    <row r="38">
      <c r="A38" s="5" t="n">
        <v>45802</v>
      </c>
      <c r="B38" s="6" t="n">
        <v>52800</v>
      </c>
      <c r="C38" s="7" t="n">
        <v>53533.773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51497.97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55992.59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48174.336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44325.14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48749.777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</row>
    <row r="39">
      <c r="A39" s="5" t="n">
        <v>45809</v>
      </c>
      <c r="B39" s="6" t="n">
        <v>52000</v>
      </c>
      <c r="C39" s="7" t="n">
        <v>52806.605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51800.09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55468.145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47953.188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43727.945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48168.348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</row>
    <row r="40">
      <c r="A40" s="5" t="n">
        <v>45816</v>
      </c>
      <c r="B40" s="6" t="n">
        <v>52000</v>
      </c>
      <c r="C40" s="7" t="n">
        <v>51682.65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51278.477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53850.7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47390.055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43412.48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47512.016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</row>
    <row r="41">
      <c r="A41" s="5" t="n">
        <v>45823</v>
      </c>
      <c r="B41" s="6" t="n">
        <v>52000</v>
      </c>
      <c r="C41" s="7" t="n">
        <v>51560.375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51367.395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52621.332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46381.89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42914.098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47532.66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</row>
    <row r="42">
      <c r="A42" s="5" t="n">
        <v>45830</v>
      </c>
      <c r="B42" s="6" t="n">
        <v>52000</v>
      </c>
      <c r="C42" s="7" t="n">
        <v>51573.56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51065.582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51819.03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45729.92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42340.4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46437.28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</row>
    <row r="43">
      <c r="A43" s="5" t="n">
        <v>45837</v>
      </c>
      <c r="B43" s="6" t="n">
        <v>51900</v>
      </c>
      <c r="C43" s="7" t="n">
        <v>51652.4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50670.832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50401.434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44573.9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41314.957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45559.344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</row>
    <row r="44">
      <c r="A44" s="5" t="n">
        <v>45844</v>
      </c>
      <c r="B44" s="6" t="n">
        <v>51600</v>
      </c>
      <c r="C44" s="7" t="n">
        <v>51637.684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50775.402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49404.316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44160.93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41010.707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44892.336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</row>
    <row r="45">
      <c r="A45" s="5" t="n">
        <v>45851</v>
      </c>
      <c r="B45" s="6" t="n">
        <v>51000</v>
      </c>
      <c r="C45" s="7" t="n">
        <v>51400.523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50208.11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48680.69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43852.242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40332.13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44985.94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</row>
    <row r="46">
      <c r="A46" s="5" t="n">
        <v>45858</v>
      </c>
      <c r="B46" s="6" t="n">
        <v>50500</v>
      </c>
      <c r="C46" s="7" t="n">
        <v>51023.082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49296.14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48101.594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43396.387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39500.355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45487.15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</row>
    <row r="47">
      <c r="A47" s="5" t="n">
        <v>45865</v>
      </c>
      <c r="B47" s="6" t="n">
        <v>50000</v>
      </c>
      <c r="C47" s="7" t="n">
        <v>50486.74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49046.438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47569.02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43318.457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39104.996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45301.082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</row>
    <row r="48">
      <c r="A48" s="5" t="n">
        <v>45872</v>
      </c>
      <c r="B48" s="6" t="n">
        <v>50000</v>
      </c>
      <c r="C48" s="7" t="n">
        <v>49874.527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48626.734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48560.06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43481.465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38558.65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45724.582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</row>
    <row r="49">
      <c r="A49" s="5" t="n">
        <v>45879</v>
      </c>
      <c r="B49" s="6" t="n">
        <v>50300</v>
      </c>
      <c r="C49" s="7" t="n">
        <v>49722.605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49507.57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49508.676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43755.77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39800.473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45911.348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</row>
    <row r="50">
      <c r="A50" s="5" t="n">
        <v>45886</v>
      </c>
      <c r="B50" s="6" t="n">
        <v>50500</v>
      </c>
      <c r="C50" s="7" t="n">
        <v>50099.082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50654.312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48866.176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44706.758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39929.117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45620.887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</row>
    <row r="51">
      <c r="A51" s="5" t="n">
        <v>45893</v>
      </c>
      <c r="B51" s="6" t="n">
        <v>50500</v>
      </c>
      <c r="C51" s="7" t="n">
        <v>50238.742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49872.504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48392.023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46202.254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39611.29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45439.875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</row>
    <row r="52">
      <c r="A52" s="5" t="n">
        <v>45900</v>
      </c>
      <c r="B52" s="6" t="n">
        <v>50700</v>
      </c>
      <c r="C52" s="7" t="n">
        <v>50461.96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49870.36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47681.445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45976.055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39813.055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45737.582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</row>
    <row r="53">
      <c r="A53" s="5" t="n">
        <v>45907</v>
      </c>
      <c r="B53" s="6" t="n">
        <v>50800</v>
      </c>
      <c r="C53" s="7" t="n">
        <v>50948.094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49620.637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47586.26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45600.12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40165.81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45208.168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</row>
    <row r="54">
      <c r="A54" s="5" t="n">
        <v>45914</v>
      </c>
      <c r="B54" s="6" t="n">
        <v>50500</v>
      </c>
      <c r="C54" s="7" t="n">
        <v>51161.47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49449.51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47342.49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44890.234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39599.992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44877.59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</row>
    <row r="55">
      <c r="A55" s="5" t="n">
        <v>45921</v>
      </c>
      <c r="B55" s="6" t="n">
        <v>50000</v>
      </c>
      <c r="C55" s="7" t="n">
        <v>50611.566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49181.996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47038.73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44997.227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39455.613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45238.14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</row>
    <row r="56">
      <c r="A56" s="5" t="n">
        <v>45928</v>
      </c>
      <c r="B56" s="6" t="n">
        <v>50000</v>
      </c>
      <c r="C56" s="7" t="n">
        <v>50035.312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49147.23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46904.895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44786.676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40017.52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44946.77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</row>
    <row r="57">
      <c r="A57" s="5" t="n">
        <v>45935</v>
      </c>
      <c r="B57" s="6" t="n">
        <v>50000</v>
      </c>
      <c r="C57" s="7" t="n">
        <v>49961.547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48923.477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47427.156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44859.94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39718.305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44897.95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</row>
    <row r="58">
      <c r="A58" s="5" t="n">
        <v>45942</v>
      </c>
      <c r="B58" s="6" t="n">
        <v>49800</v>
      </c>
      <c r="C58" s="7" t="n">
        <v>49834.527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48330.125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47105.875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44141.01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39744.16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44471.402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</row>
    <row r="59">
      <c r="A59" s="5" t="n">
        <v>45949</v>
      </c>
      <c r="B59" s="6" t="n">
        <v>49000</v>
      </c>
      <c r="C59" s="7" t="n">
        <v>49729.27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48167.06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47038.977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43372.645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39314.61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43973.508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</row>
    <row r="60">
      <c r="A60" s="5" t="n">
        <v>45956</v>
      </c>
      <c r="B60" s="6" t="n">
        <v>49000</v>
      </c>
      <c r="C60" s="7" t="n">
        <v>48856.082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47679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47037.047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42956.3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38674.81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43245.164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</row>
    <row r="61">
      <c r="A61" s="5" t="n">
        <v>45963</v>
      </c>
      <c r="B61" s="6" t="n">
        <v>49000</v>
      </c>
      <c r="C61" s="7" t="n">
        <v>48877.152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47877.87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47753.477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42670.203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38144.05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42880.383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</row>
    <row r="62">
      <c r="A62" s="5" t="n">
        <v>45970</v>
      </c>
      <c r="B62" s="6" t="n">
        <v>49600</v>
      </c>
      <c r="C62" s="7" t="n">
        <v>48994.82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47091.46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48249.195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41675.836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37815.36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42821.13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</row>
    <row r="63">
      <c r="A63" s="5" t="n">
        <v>45977</v>
      </c>
      <c r="B63" s="6" t="n">
        <v>49600</v>
      </c>
      <c r="C63" s="7" t="n">
        <v>49683.64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47590.246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47516.207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41914.707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37786.508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42920.62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</row>
    <row r="64">
      <c r="A64" s="5" t="n">
        <v>45984</v>
      </c>
      <c r="B64" s="6" t="n">
        <v>49000</v>
      </c>
      <c r="C64" s="7" t="n">
        <v>49626.293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46838.242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46800.344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43281.477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38303.53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43070.656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</row>
    <row r="65">
      <c r="A65" s="5" t="n">
        <v>45991</v>
      </c>
      <c r="B65" s="6" t="n">
        <v>48600</v>
      </c>
      <c r="C65" s="7" t="n">
        <v>49067.562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46328.547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46527.918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42673.58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38232.887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43349.867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</row>
    <row r="66">
      <c r="A66" s="5" t="n">
        <v>45998</v>
      </c>
      <c r="B66" s="6" t="n">
        <v>46700</v>
      </c>
      <c r="C66" s="7" t="n">
        <v>48598.62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46030.562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47325.508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42797.723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38585.746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43928.617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</row>
    <row r="67">
      <c r="A67" s="5" t="n">
        <v>46005</v>
      </c>
      <c r="B67" s="6" t="n">
        <v>46800</v>
      </c>
      <c r="C67" s="7" t="n">
        <v>46664.723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45727.633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47925.957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42944.152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38999.688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44600.48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</row>
    <row r="68">
      <c r="A68" s="5" t="n">
        <v>46012</v>
      </c>
      <c r="B68" s="6" t="n">
        <v>46800</v>
      </c>
      <c r="C68" s="7" t="n">
        <v>46750.676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45785.074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47671.56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44148.125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39457.688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44272.938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</row>
    <row r="69">
      <c r="A69" s="5" t="n">
        <v>46019</v>
      </c>
      <c r="B69" s="6" t="n">
        <v>48000</v>
      </c>
      <c r="C69" s="7" t="n">
        <v>46974.777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47056.457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49073.773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44956.79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39247.43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44781.203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</row>
    <row r="70">
      <c r="A70" s="5" t="n">
        <v>46026</v>
      </c>
      <c r="B70" s="6" t="n">
        <v>50400</v>
      </c>
      <c r="C70" s="7" t="n">
        <v>48298.914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49257.93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52388.797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45328.3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39571.195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45847.92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</row>
    <row r="71">
      <c r="A71" s="5" t="n">
        <v>46033</v>
      </c>
      <c r="B71" s="6" t="n">
        <v>51400</v>
      </c>
      <c r="C71" s="7" t="n">
        <v>51042.723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51785.742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53103.805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48906.42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44488.43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49747.227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</row>
    <row r="72">
      <c r="A72" s="5" t="n">
        <v>46040</v>
      </c>
      <c r="B72" s="6" t="n">
        <v>52000</v>
      </c>
      <c r="C72" s="7" t="n">
        <v>52330.516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50828.652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54449.914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48806.5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43602.4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48385.145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</row>
    <row r="73">
      <c r="A73" s="5" t="n">
        <v>46047</v>
      </c>
      <c r="B73" s="6" t="n">
        <v>53000</v>
      </c>
      <c r="C73" s="7" t="n">
        <v>52962.008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52293.297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56315.66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49235.855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43198.332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48513.902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</row>
    <row r="74">
      <c r="A74" s="5" t="n">
        <v>46054</v>
      </c>
      <c r="B74" s="6" t="n">
        <v>53400</v>
      </c>
      <c r="C74" s="7" t="n">
        <v>53936.684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52763.55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58064.68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50176.324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43619.77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49440.45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</row>
    <row r="75">
      <c r="A75" s="5" t="n">
        <v>46061</v>
      </c>
      <c r="B75" s="6" t="n">
        <v>55100</v>
      </c>
      <c r="C75" s="7" t="n">
        <v>54097.617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53549.4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59566.504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50884.574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43644.285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49279.26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</row>
    <row r="76">
      <c r="A76" s="5" t="n">
        <v>46068</v>
      </c>
      <c r="B76" s="6" t="n">
        <v>55200</v>
      </c>
      <c r="C76" s="7" t="n">
        <v>56213.312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COUNTIF(G76:G85,1)&amp;"/"&amp;COUNT(G76:G85)</f>
        <v/>
      </c>
      <c r="I76" s="6" t="n">
        <v>53650</v>
      </c>
      <c r="J76" s="7" t="n">
        <v>53877.27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COUNTIF(N76:N85,1)&amp;"/"&amp;COUNT(N76:N85)</f>
        <v/>
      </c>
      <c r="P76" s="6" t="n">
        <v>58900</v>
      </c>
      <c r="Q76" s="7" t="n">
        <v>59685.03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COUNTIF(U76:U85,1)&amp;"/"&amp;COUNT(U76:U85)</f>
        <v/>
      </c>
      <c r="W76" s="6" t="n">
        <v>50000</v>
      </c>
      <c r="X76" s="7" t="n">
        <v>50398.62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COUNTIF(AB76:AB85,1)&amp;"/"&amp;COUNT(AB76:AB85)</f>
        <v/>
      </c>
      <c r="AD76" s="6" t="n">
        <v>45266.67</v>
      </c>
      <c r="AE76" s="7" t="n">
        <v>44370.152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COUNTIF(AI76:AI85,1)&amp;"/"&amp;COUNT(AI76:AI85)</f>
        <v/>
      </c>
      <c r="AK76" s="6" t="n">
        <v>49800</v>
      </c>
      <c r="AL76" s="7" t="n">
        <v>49227.17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COUNTIF(AP76:AP85,1)&amp;"/"&amp;COUNT(AP76:AP85)</f>
        <v/>
      </c>
    </row>
    <row r="77">
      <c r="A77" s="5" t="n">
        <v>46075</v>
      </c>
      <c r="B77" s="6" t="n">
        <v>54600</v>
      </c>
      <c r="C77" s="7" t="n">
        <v>56367.383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53545.754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59475.938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50387.207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45569.094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49693.23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</row>
    <row r="78">
      <c r="A78" s="5" t="n">
        <v>46082</v>
      </c>
      <c r="B78" s="6" t="n">
        <v>54000</v>
      </c>
      <c r="C78" s="7" t="n">
        <v>54931.266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53567.305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59710.16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49472.195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44280.96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48723.63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</row>
    <row r="79">
      <c r="A79" s="5" t="n">
        <v>46089</v>
      </c>
      <c r="B79" s="6" t="n">
        <v>54400</v>
      </c>
      <c r="C79" s="7" t="n">
        <v>54002.883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53899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59631.926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49198.332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43541.793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48356.863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</row>
    <row r="80">
      <c r="A80" s="5" t="n">
        <v>46096</v>
      </c>
      <c r="B80" s="6" t="n">
        <v>55600</v>
      </c>
      <c r="C80" s="7" t="n">
        <v>54423.914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55072.492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59797.836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50664.613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46047.598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50314.883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</row>
    <row r="81">
      <c r="A81" s="5" t="n">
        <v>46103</v>
      </c>
      <c r="B81" s="6" t="n">
        <v>56900</v>
      </c>
      <c r="C81" s="7" t="n">
        <v>55432.824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56418.67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59684.125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51807.113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46191.203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50033.76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</row>
    <row r="82">
      <c r="A82" s="5" t="n">
        <v>46110</v>
      </c>
      <c r="B82" s="6" t="n">
        <v>58200</v>
      </c>
      <c r="C82" s="7" t="n">
        <v>56756.465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57061.527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59531.14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51185.984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46102.758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49820.566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</row>
    <row r="83">
      <c r="A83" s="5" t="n">
        <v>46117</v>
      </c>
      <c r="B83" s="6" t="n">
        <v>59100</v>
      </c>
      <c r="C83" s="7" t="n">
        <v>58170.32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58343.973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59674.4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51019.797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45666.71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49606.99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</row>
    <row r="84">
      <c r="A84" s="5" t="n">
        <v>46124</v>
      </c>
      <c r="B84" s="6" t="n">
        <v>59500</v>
      </c>
      <c r="C84" s="7" t="n">
        <v>59130.812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60514.766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60208.82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53586.605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48617.977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52246.94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</row>
    <row r="85">
      <c r="A85" s="5" t="n">
        <v>46131</v>
      </c>
      <c r="B85" s="6" t="n">
        <v>59500</v>
      </c>
      <c r="C85" s="7" t="n">
        <v>59782.35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59720.938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60750.363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54851.91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48402.07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53054.42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</row>
  </sheetData>
  <mergeCells count="49">
    <mergeCell ref="AC40:AC51"/>
    <mergeCell ref="I1:O1"/>
    <mergeCell ref="O52:O63"/>
    <mergeCell ref="H16:H27"/>
    <mergeCell ref="AJ64:AJ75"/>
    <mergeCell ref="V16:V27"/>
    <mergeCell ref="H28:H39"/>
    <mergeCell ref="AC52:AC63"/>
    <mergeCell ref="AJ76:AJ85"/>
    <mergeCell ref="H76:H85"/>
    <mergeCell ref="AQ28:AQ39"/>
    <mergeCell ref="AQ40:AQ51"/>
    <mergeCell ref="AJ4:AJ15"/>
    <mergeCell ref="AJ40:AJ51"/>
    <mergeCell ref="V52:V63"/>
    <mergeCell ref="H4:H15"/>
    <mergeCell ref="AJ16:AJ27"/>
    <mergeCell ref="AJ52:AJ63"/>
    <mergeCell ref="AC16:AC27"/>
    <mergeCell ref="V64:V75"/>
    <mergeCell ref="O28:O39"/>
    <mergeCell ref="V76:V85"/>
    <mergeCell ref="AQ76:AQ85"/>
    <mergeCell ref="V4:V15"/>
    <mergeCell ref="P1:V1"/>
    <mergeCell ref="AC28:AC39"/>
    <mergeCell ref="A1:A3"/>
    <mergeCell ref="AQ16:AQ27"/>
    <mergeCell ref="H64:H75"/>
    <mergeCell ref="AC76:AC85"/>
    <mergeCell ref="V28:V39"/>
    <mergeCell ref="AD1:AJ1"/>
    <mergeCell ref="H40:H51"/>
    <mergeCell ref="W1:AC1"/>
    <mergeCell ref="V40:V51"/>
    <mergeCell ref="O4:O15"/>
    <mergeCell ref="H52:H63"/>
    <mergeCell ref="AQ52:AQ63"/>
    <mergeCell ref="B1:H1"/>
    <mergeCell ref="AC64:AC75"/>
    <mergeCell ref="AC4:AC15"/>
    <mergeCell ref="O16:O27"/>
    <mergeCell ref="AQ4:AQ15"/>
    <mergeCell ref="AQ64:AQ75"/>
    <mergeCell ref="O64:O75"/>
    <mergeCell ref="AJ28:AJ39"/>
    <mergeCell ref="O40:O51"/>
    <mergeCell ref="AK1:AQ1"/>
    <mergeCell ref="O76:O8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8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</row>
    <row r="3">
      <c r="D3" s="4">
        <f>AVERAGE(D4:D85)</f>
        <v/>
      </c>
      <c r="E3" s="4">
        <f>AVERAGE(E4:E85)</f>
        <v/>
      </c>
      <c r="F3" s="4">
        <f>AVERAGE(F4:F85)</f>
        <v/>
      </c>
      <c r="G3" s="4">
        <f>AVERAGE(G4:G85)</f>
        <v/>
      </c>
      <c r="K3" s="4">
        <f>AVERAGE(K4:K85)</f>
        <v/>
      </c>
      <c r="L3" s="4">
        <f>AVERAGE(L4:L85)</f>
        <v/>
      </c>
      <c r="M3" s="4">
        <f>AVERAGE(M4:M85)</f>
        <v/>
      </c>
      <c r="N3" s="4">
        <f>AVERAGE(N4:N85)</f>
        <v/>
      </c>
      <c r="R3" s="4">
        <f>AVERAGE(R4:R85)</f>
        <v/>
      </c>
      <c r="S3" s="4">
        <f>AVERAGE(S4:S85)</f>
        <v/>
      </c>
      <c r="T3" s="4">
        <f>AVERAGE(T4:T85)</f>
        <v/>
      </c>
      <c r="U3" s="4">
        <f>AVERAGE(U4:U85)</f>
        <v/>
      </c>
      <c r="Y3" s="4">
        <f>AVERAGE(Y4:Y85)</f>
        <v/>
      </c>
      <c r="Z3" s="4">
        <f>AVERAGE(Z4:Z85)</f>
        <v/>
      </c>
      <c r="AA3" s="4">
        <f>AVERAGE(AA4:AA85)</f>
        <v/>
      </c>
      <c r="AB3" s="4">
        <f>AVERAGE(AB4:AB85)</f>
        <v/>
      </c>
      <c r="AF3" s="4">
        <f>AVERAGE(AF4:AF85)</f>
        <v/>
      </c>
      <c r="AG3" s="4">
        <f>AVERAGE(AG4:AG85)</f>
        <v/>
      </c>
      <c r="AH3" s="4">
        <f>AVERAGE(AH4:AH85)</f>
        <v/>
      </c>
      <c r="AI3" s="4">
        <f>AVERAGE(AI4:AI85)</f>
        <v/>
      </c>
      <c r="AM3" s="4">
        <f>AVERAGE(AM4:AM85)</f>
        <v/>
      </c>
      <c r="AN3" s="4">
        <f>AVERAGE(AN4:AN85)</f>
        <v/>
      </c>
      <c r="AO3" s="4">
        <f>AVERAGE(AO4:AO85)</f>
        <v/>
      </c>
      <c r="AP3" s="4">
        <f>AVERAGE(AP4:AP85)</f>
        <v/>
      </c>
    </row>
    <row r="4">
      <c r="A4" s="5" t="n">
        <v>45564</v>
      </c>
      <c r="B4" s="6" t="n">
        <v>49000</v>
      </c>
      <c r="C4" s="7" t="n">
        <v>50669.195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46863.215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50672.516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45113.17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41151.594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46694.62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</row>
    <row r="5">
      <c r="A5" s="5" t="n">
        <v>45571</v>
      </c>
      <c r="B5" s="6" t="n">
        <v>49000</v>
      </c>
      <c r="C5" s="7" t="n">
        <v>48994.92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46813.44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50706.4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45802.082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41379.316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47238.65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</row>
    <row r="6">
      <c r="A6" s="5" t="n">
        <v>45578</v>
      </c>
      <c r="B6" s="6" t="n">
        <v>49200</v>
      </c>
      <c r="C6" s="7" t="n">
        <v>48600.145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47529.99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52755.043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47682.652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43257.93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48708.38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</row>
    <row r="7">
      <c r="A7" s="5" t="n">
        <v>45585</v>
      </c>
      <c r="B7" s="6" t="n">
        <v>49200</v>
      </c>
      <c r="C7" s="7" t="n">
        <v>48303.766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48651.945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54164.453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48981.934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43986.305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49786.406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</row>
    <row r="8">
      <c r="A8" s="5" t="n">
        <v>45592</v>
      </c>
      <c r="B8" s="6" t="n">
        <v>49200</v>
      </c>
      <c r="C8" s="7" t="n">
        <v>48326.67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48341.086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55545.2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49103.69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44323.574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50841.188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</row>
    <row r="9">
      <c r="A9" s="5" t="n">
        <v>45599</v>
      </c>
      <c r="B9" s="6" t="n">
        <v>49200</v>
      </c>
      <c r="C9" s="7" t="n">
        <v>48364.47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47953.97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54610.938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49674.875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44765.535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51051.324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</row>
    <row r="10">
      <c r="A10" s="5" t="n">
        <v>45606</v>
      </c>
      <c r="B10" s="6" t="n">
        <v>49000</v>
      </c>
      <c r="C10" s="7" t="n">
        <v>48490.668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47824.81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54346.32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48681.71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43831.152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51212.406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</row>
    <row r="11">
      <c r="A11" s="5" t="n">
        <v>45613</v>
      </c>
      <c r="B11" s="6" t="n">
        <v>49000</v>
      </c>
      <c r="C11" s="7" t="n">
        <v>48126.09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48079.64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54476.08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49144.434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44540.48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50637.418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</row>
    <row r="12">
      <c r="A12" s="5" t="n">
        <v>45620</v>
      </c>
      <c r="B12" s="6" t="n">
        <v>49000</v>
      </c>
      <c r="C12" s="7" t="n">
        <v>48273.902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48002.113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54505.43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49992.348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44538.57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51348.84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</row>
    <row r="13">
      <c r="A13" s="5" t="n">
        <v>45627</v>
      </c>
      <c r="B13" s="6" t="n">
        <v>48500</v>
      </c>
      <c r="C13" s="7" t="n">
        <v>49255.207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47800.363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55205.47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47665.973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43134.688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48402.234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</row>
    <row r="14">
      <c r="A14" s="5" t="n">
        <v>45634</v>
      </c>
      <c r="B14" s="6" t="n">
        <v>48200</v>
      </c>
      <c r="C14" s="7" t="n">
        <v>50047.402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47731.605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54966.71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46416.406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40893.36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46800.395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</row>
    <row r="15">
      <c r="A15" s="5" t="n">
        <v>45641</v>
      </c>
      <c r="B15" s="6" t="n">
        <v>48200</v>
      </c>
      <c r="C15" s="7" t="n">
        <v>51088.285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46996.473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53518.254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46029.938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40635.035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46236.574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</row>
    <row r="16">
      <c r="A16" s="5" t="n">
        <v>45648</v>
      </c>
      <c r="B16" s="6" t="n">
        <v>48200</v>
      </c>
      <c r="C16" s="7" t="n">
        <v>47791.926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46718.582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51313.75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44998.15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40431.484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46003.695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</row>
    <row r="17">
      <c r="A17" s="5" t="n">
        <v>45655</v>
      </c>
      <c r="B17" s="6" t="n">
        <v>48100</v>
      </c>
      <c r="C17" s="7" t="n">
        <v>47499.887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46327.773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50891.832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45503.156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41139.65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47475.324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</row>
    <row r="18">
      <c r="A18" s="5" t="n">
        <v>45662</v>
      </c>
      <c r="B18" s="6" t="n">
        <v>48100</v>
      </c>
      <c r="C18" s="7" t="n">
        <v>47325.3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46521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51682.652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46321.137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41628.184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47138.01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</row>
    <row r="19">
      <c r="A19" s="5" t="n">
        <v>45669</v>
      </c>
      <c r="B19" s="6" t="n">
        <v>48200</v>
      </c>
      <c r="C19" s="7" t="n">
        <v>47896.117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46367.227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51408.3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47483.965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42080.863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47652.945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</row>
    <row r="20">
      <c r="A20" s="5" t="n">
        <v>45676</v>
      </c>
      <c r="B20" s="6" t="n">
        <v>48500</v>
      </c>
      <c r="C20" s="7" t="n">
        <v>47993.324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46466.566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51309.79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47330.383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42465.36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46139.473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</row>
    <row r="21">
      <c r="A21" s="5" t="n">
        <v>45683</v>
      </c>
      <c r="B21" s="6" t="n">
        <v>48400</v>
      </c>
      <c r="C21" s="7" t="n">
        <v>48089.29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46363.42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51627.867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46675.184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41411.94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46222.355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</row>
    <row r="22">
      <c r="A22" s="5" t="n">
        <v>45690</v>
      </c>
      <c r="B22" s="6" t="n">
        <v>48600</v>
      </c>
      <c r="C22" s="7" t="n">
        <v>48222.06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46807.605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52035.734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46969.668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41826.92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45797.992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</row>
    <row r="23">
      <c r="A23" s="5" t="n">
        <v>45697</v>
      </c>
      <c r="B23" s="6" t="n">
        <v>49000</v>
      </c>
      <c r="C23" s="7" t="n">
        <v>48372.137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48079.85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53972.742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48170.145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42808.844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47266.523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</row>
    <row r="24">
      <c r="A24" s="5" t="n">
        <v>45704</v>
      </c>
      <c r="B24" s="6" t="n">
        <v>49000</v>
      </c>
      <c r="C24" s="7" t="n">
        <v>48752.586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48456.566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54900.15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49371.918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43726.043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47533.14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</row>
    <row r="25">
      <c r="A25" s="5" t="n">
        <v>45711</v>
      </c>
      <c r="B25" s="6" t="n">
        <v>49000</v>
      </c>
      <c r="C25" s="7" t="n">
        <v>49192.664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48442.97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54642.58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49500.43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42646.305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47278.82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</row>
    <row r="26">
      <c r="A26" s="5" t="n">
        <v>45718</v>
      </c>
      <c r="B26" s="6" t="n">
        <v>49000</v>
      </c>
      <c r="C26" s="7" t="n">
        <v>49393.64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48168.51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54718.47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48943.42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43007.855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46733.85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</row>
    <row r="27">
      <c r="A27" s="5" t="n">
        <v>45725</v>
      </c>
      <c r="B27" s="6" t="n">
        <v>49000</v>
      </c>
      <c r="C27" s="7" t="n">
        <v>48892.594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47981.04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53949.113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48822.355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43370.586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46548.504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</row>
    <row r="28">
      <c r="A28" s="5" t="n">
        <v>45732</v>
      </c>
      <c r="B28" s="6" t="n">
        <v>49500</v>
      </c>
      <c r="C28" s="7" t="n">
        <v>48650.445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48545.895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53047.824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48092.277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43493.62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47792.867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</row>
    <row r="29">
      <c r="A29" s="5" t="n">
        <v>45739</v>
      </c>
      <c r="B29" s="6" t="n">
        <v>49600</v>
      </c>
      <c r="C29" s="7" t="n">
        <v>49041.605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49645.777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53372.176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49062.734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43696.08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47865.06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</row>
    <row r="30">
      <c r="A30" s="5" t="n">
        <v>45746</v>
      </c>
      <c r="B30" s="6" t="n">
        <v>51500</v>
      </c>
      <c r="C30" s="7" t="n">
        <v>50097.633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50648.676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54779.656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49068.383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42542.977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48593.582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</row>
    <row r="31">
      <c r="A31" s="5" t="n">
        <v>45753</v>
      </c>
      <c r="B31" s="6" t="n">
        <v>52000</v>
      </c>
      <c r="C31" s="7" t="n">
        <v>52323.133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51992.17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57072.12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49070.32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42490.45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47686.902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</row>
    <row r="32">
      <c r="A32" s="5" t="n">
        <v>45760</v>
      </c>
      <c r="B32" s="6" t="n">
        <v>51500</v>
      </c>
      <c r="C32" s="7" t="n">
        <v>52744.23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52282.195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57744.047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48361.684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41674.695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47925.73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</row>
    <row r="33">
      <c r="A33" s="5" t="n">
        <v>45767</v>
      </c>
      <c r="B33" s="6" t="n">
        <v>51500</v>
      </c>
      <c r="C33" s="7" t="n">
        <v>51518.113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51931.63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56051.562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48080.156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42572.812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47695.664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</row>
    <row r="34">
      <c r="A34" s="5" t="n">
        <v>45774</v>
      </c>
      <c r="B34" s="6" t="n">
        <v>52500</v>
      </c>
      <c r="C34" s="7" t="n">
        <v>50845.348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51368.207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55028.594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47753.13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43335.64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47748.86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</row>
    <row r="35">
      <c r="A35" s="5" t="n">
        <v>45781</v>
      </c>
      <c r="B35" s="6" t="n">
        <v>53000</v>
      </c>
      <c r="C35" s="7" t="n">
        <v>51498.062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52012.684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55113.4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48653.562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44248.562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49124.055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</row>
    <row r="36">
      <c r="A36" s="5" t="n">
        <v>45788</v>
      </c>
      <c r="B36" s="6" t="n">
        <v>53000</v>
      </c>
      <c r="C36" s="7" t="n">
        <v>52516.703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52917.49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55945.566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49954.566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44538.88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49445.98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</row>
    <row r="37">
      <c r="A37" s="5" t="n">
        <v>45795</v>
      </c>
      <c r="B37" s="6" t="n">
        <v>53300</v>
      </c>
      <c r="C37" s="7" t="n">
        <v>52770.266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52363.688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56124.39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49788.484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43815.08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48928.133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</row>
    <row r="38">
      <c r="A38" s="5" t="n">
        <v>45802</v>
      </c>
      <c r="B38" s="6" t="n">
        <v>52800</v>
      </c>
      <c r="C38" s="7" t="n">
        <v>52405.645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51916.07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56413.14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49380.89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44596.39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48626.223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</row>
    <row r="39">
      <c r="A39" s="5" t="n">
        <v>45809</v>
      </c>
      <c r="B39" s="6" t="n">
        <v>52000</v>
      </c>
      <c r="C39" s="7" t="n">
        <v>51979.156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51715.23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55801.03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48796.754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44821.152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49221.016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</row>
    <row r="40">
      <c r="A40" s="5" t="n">
        <v>45816</v>
      </c>
      <c r="B40" s="6" t="n">
        <v>52000</v>
      </c>
      <c r="C40" s="7" t="n">
        <v>51214.55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51315.6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54905.47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48216.27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44941.52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48771.188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</row>
    <row r="41">
      <c r="A41" s="5" t="n">
        <v>45823</v>
      </c>
      <c r="B41" s="6" t="n">
        <v>52000</v>
      </c>
      <c r="C41" s="7" t="n">
        <v>51198.754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51194.605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54032.695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48325.406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44322.977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48795.652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</row>
    <row r="42">
      <c r="A42" s="5" t="n">
        <v>45830</v>
      </c>
      <c r="B42" s="6" t="n">
        <v>52000</v>
      </c>
      <c r="C42" s="7" t="n">
        <v>51276.703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51274.035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53937.145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48486.793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43588.168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49015.277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</row>
    <row r="43">
      <c r="A43" s="5" t="n">
        <v>45837</v>
      </c>
      <c r="B43" s="6" t="n">
        <v>51900</v>
      </c>
      <c r="C43" s="7" t="n">
        <v>51186.863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50695.184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53320.598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47628.67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42476.188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48835.23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</row>
    <row r="44">
      <c r="A44" s="5" t="n">
        <v>45844</v>
      </c>
      <c r="B44" s="6" t="n">
        <v>51600</v>
      </c>
      <c r="C44" s="7" t="n">
        <v>50844.305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50687.453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51367.316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47364.625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42902.297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48355.17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</row>
    <row r="45">
      <c r="A45" s="5" t="n">
        <v>45851</v>
      </c>
      <c r="B45" s="6" t="n">
        <v>51000</v>
      </c>
      <c r="C45" s="7" t="n">
        <v>50402.684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50534.68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50807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46926.594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43241.12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47804.54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</row>
    <row r="46">
      <c r="A46" s="5" t="n">
        <v>45858</v>
      </c>
      <c r="B46" s="6" t="n">
        <v>50500</v>
      </c>
      <c r="C46" s="7" t="n">
        <v>50972.086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49543.953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52304.008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47146.84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43574.715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48021.285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</row>
    <row r="47">
      <c r="A47" s="5" t="n">
        <v>45865</v>
      </c>
      <c r="B47" s="6" t="n">
        <v>50000</v>
      </c>
      <c r="C47" s="7" t="n">
        <v>50353.633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49089.188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52825.23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47855.16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43529.242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48082.42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</row>
    <row r="48">
      <c r="A48" s="5" t="n">
        <v>45872</v>
      </c>
      <c r="B48" s="6" t="n">
        <v>50000</v>
      </c>
      <c r="C48" s="7" t="n">
        <v>50316.945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48864.426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52433.715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48328.203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43595.395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47946.258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</row>
    <row r="49">
      <c r="A49" s="5" t="n">
        <v>45879</v>
      </c>
      <c r="B49" s="6" t="n">
        <v>50300</v>
      </c>
      <c r="C49" s="7" t="n">
        <v>50422.645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49190.53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52388.543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47737.87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42490.207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47370.81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</row>
    <row r="50">
      <c r="A50" s="5" t="n">
        <v>45886</v>
      </c>
      <c r="B50" s="6" t="n">
        <v>50500</v>
      </c>
      <c r="C50" s="7" t="n">
        <v>49918.51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50239.293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50495.76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46089.82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41472.812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46323.137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</row>
    <row r="51">
      <c r="A51" s="5" t="n">
        <v>45893</v>
      </c>
      <c r="B51" s="6" t="n">
        <v>50500</v>
      </c>
      <c r="C51" s="7" t="n">
        <v>49601.184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49999.867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48909.164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46807.68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40155.516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45565.496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</row>
    <row r="52">
      <c r="A52" s="5" t="n">
        <v>45900</v>
      </c>
      <c r="B52" s="6" t="n">
        <v>50700</v>
      </c>
      <c r="C52" s="7" t="n">
        <v>49678.15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49702.49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51121.04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46810.43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39717.305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45809.973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</row>
    <row r="53">
      <c r="A53" s="5" t="n">
        <v>45907</v>
      </c>
      <c r="B53" s="6" t="n">
        <v>50800</v>
      </c>
      <c r="C53" s="7" t="n">
        <v>50677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49517.914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51543.184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47296.695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40641.78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45832.934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</row>
    <row r="54">
      <c r="A54" s="5" t="n">
        <v>45914</v>
      </c>
      <c r="B54" s="6" t="n">
        <v>50500</v>
      </c>
      <c r="C54" s="7" t="n">
        <v>50858.13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49414.375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52040.816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47565.336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40489.562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46307.74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</row>
    <row r="55">
      <c r="A55" s="5" t="n">
        <v>45921</v>
      </c>
      <c r="B55" s="6" t="n">
        <v>50000</v>
      </c>
      <c r="C55" s="7" t="n">
        <v>50963.87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49303.37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52109.664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47207.52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40468.66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46260.03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</row>
    <row r="56">
      <c r="A56" s="5" t="n">
        <v>45928</v>
      </c>
      <c r="B56" s="6" t="n">
        <v>50000</v>
      </c>
      <c r="C56" s="7" t="n">
        <v>50645.41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49141.02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49809.87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45662.246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40901.96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45185.754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</row>
    <row r="57">
      <c r="A57" s="5" t="n">
        <v>45935</v>
      </c>
      <c r="B57" s="6" t="n">
        <v>50000</v>
      </c>
      <c r="C57" s="7" t="n">
        <v>50407.734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48889.76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48607.56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44352.156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40063.855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44849.05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</row>
    <row r="58">
      <c r="A58" s="5" t="n">
        <v>45942</v>
      </c>
      <c r="B58" s="6" t="n">
        <v>49800</v>
      </c>
      <c r="C58" s="7" t="n">
        <v>50251.965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48374.08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48045.81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43589.637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39889.34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44625.492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</row>
    <row r="59">
      <c r="A59" s="5" t="n">
        <v>45949</v>
      </c>
      <c r="B59" s="6" t="n">
        <v>49000</v>
      </c>
      <c r="C59" s="7" t="n">
        <v>49944.895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48304.2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47616.723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43363.145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40008.95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44319.84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</row>
    <row r="60">
      <c r="A60" s="5" t="n">
        <v>45956</v>
      </c>
      <c r="B60" s="6" t="n">
        <v>49000</v>
      </c>
      <c r="C60" s="7" t="n">
        <v>50539.355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47895.63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47243.625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43139.664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39104.5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44098.996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</row>
    <row r="61">
      <c r="A61" s="5" t="n">
        <v>45963</v>
      </c>
      <c r="B61" s="6" t="n">
        <v>49000</v>
      </c>
      <c r="C61" s="7" t="n">
        <v>52176.125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47992.56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47154.77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42842.11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38506.25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43689.543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</row>
    <row r="62">
      <c r="A62" s="5" t="n">
        <v>45970</v>
      </c>
      <c r="B62" s="6" t="n">
        <v>49600</v>
      </c>
      <c r="C62" s="7" t="n">
        <v>52271.684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47344.004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47100.754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42294.43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37990.543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43336.414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</row>
    <row r="63">
      <c r="A63" s="5" t="n">
        <v>45977</v>
      </c>
      <c r="B63" s="6" t="n">
        <v>49600</v>
      </c>
      <c r="C63" s="7" t="n">
        <v>51935.953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47423.23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46561.426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41944.023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37761.234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42793.73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</row>
    <row r="64">
      <c r="A64" s="5" t="n">
        <v>45984</v>
      </c>
      <c r="B64" s="6" t="n">
        <v>49000</v>
      </c>
      <c r="C64" s="7" t="n">
        <v>51138.258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47047.344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46131.406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43574.6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38124.094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42555.035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</row>
    <row r="65">
      <c r="A65" s="5" t="n">
        <v>45991</v>
      </c>
      <c r="B65" s="6" t="n">
        <v>48600</v>
      </c>
      <c r="C65" s="7" t="n">
        <v>50951.613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46525.6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46125.707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43163.98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38169.41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42820.184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</row>
    <row r="66">
      <c r="A66" s="5" t="n">
        <v>45998</v>
      </c>
      <c r="B66" s="6" t="n">
        <v>46700</v>
      </c>
      <c r="C66" s="7" t="n">
        <v>50747.96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46087.84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46587.023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43204.46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38158.06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43242.797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</row>
    <row r="67">
      <c r="A67" s="5" t="n">
        <v>46005</v>
      </c>
      <c r="B67" s="6" t="n">
        <v>46800</v>
      </c>
      <c r="C67" s="7" t="n">
        <v>48727.605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45738.867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47251.96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43111.047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38640.8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44134.812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</row>
    <row r="68">
      <c r="A68" s="5" t="n">
        <v>46012</v>
      </c>
      <c r="B68" s="6" t="n">
        <v>46800</v>
      </c>
      <c r="C68" s="7" t="n">
        <v>47354.91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45826.17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47444.406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43435.49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39174.062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44123.72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</row>
    <row r="69">
      <c r="A69" s="5" t="n">
        <v>46019</v>
      </c>
      <c r="B69" s="6" t="n">
        <v>48000</v>
      </c>
      <c r="C69" s="7" t="n">
        <v>46790.72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46827.03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49037.395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43784.836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39209.25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44966.824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</row>
    <row r="70">
      <c r="A70" s="5" t="n">
        <v>46026</v>
      </c>
      <c r="B70" s="6" t="n">
        <v>50400</v>
      </c>
      <c r="C70" s="7" t="n">
        <v>48432.87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48779.902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52033.953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44474.5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39767.84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45936.688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</row>
    <row r="71">
      <c r="A71" s="5" t="n">
        <v>46033</v>
      </c>
      <c r="B71" s="6" t="n">
        <v>51400</v>
      </c>
      <c r="C71" s="7" t="n">
        <v>51467.332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51339.156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54287.902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47793.09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43742.258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50356.11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</row>
    <row r="72">
      <c r="A72" s="5" t="n">
        <v>46040</v>
      </c>
      <c r="B72" s="6" t="n">
        <v>52000</v>
      </c>
      <c r="C72" s="7" t="n">
        <v>52748.453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51016.95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55904.598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48158.125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44070.47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50454.367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</row>
    <row r="73">
      <c r="A73" s="5" t="n">
        <v>46047</v>
      </c>
      <c r="B73" s="6" t="n">
        <v>53000</v>
      </c>
      <c r="C73" s="7" t="n">
        <v>53683.12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52077.59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56943.508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48231.906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45951.805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49439.23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</row>
    <row r="74">
      <c r="A74" s="5" t="n">
        <v>46054</v>
      </c>
      <c r="B74" s="6" t="n">
        <v>53400</v>
      </c>
      <c r="C74" s="7" t="n">
        <v>51867.184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52623.395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57758.43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48327.594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43459.27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49090.582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</row>
    <row r="75">
      <c r="A75" s="5" t="n">
        <v>46061</v>
      </c>
      <c r="B75" s="6" t="n">
        <v>55100</v>
      </c>
      <c r="C75" s="7" t="n">
        <v>51251.883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53550.58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59045.516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48310.33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42544.32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47037.312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</row>
    <row r="76">
      <c r="A76" s="5" t="n">
        <v>46068</v>
      </c>
      <c r="B76" s="6" t="n">
        <v>55200</v>
      </c>
      <c r="C76" s="7" t="n">
        <v>50212.74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COUNTIF(G76:G85,1)&amp;"/"&amp;COUNT(G76:G85)</f>
        <v/>
      </c>
      <c r="I76" s="6" t="n">
        <v>53650</v>
      </c>
      <c r="J76" s="7" t="n">
        <v>54044.906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COUNTIF(N76:N85,1)&amp;"/"&amp;COUNT(N76:N85)</f>
        <v/>
      </c>
      <c r="P76" s="6" t="n">
        <v>58900</v>
      </c>
      <c r="Q76" s="7" t="n">
        <v>58430.21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COUNTIF(U76:U85,1)&amp;"/"&amp;COUNT(U76:U85)</f>
        <v/>
      </c>
      <c r="W76" s="6" t="n">
        <v>50000</v>
      </c>
      <c r="X76" s="7" t="n">
        <v>49567.35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COUNTIF(AB76:AB85,1)&amp;"/"&amp;COUNT(AB76:AB85)</f>
        <v/>
      </c>
      <c r="AD76" s="6" t="n">
        <v>45266.67</v>
      </c>
      <c r="AE76" s="7" t="n">
        <v>42989.066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COUNTIF(AI76:AI85,1)&amp;"/"&amp;COUNT(AI76:AI85)</f>
        <v/>
      </c>
      <c r="AK76" s="6" t="n">
        <v>49800</v>
      </c>
      <c r="AL76" s="7" t="n">
        <v>46507.234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COUNTIF(AP76:AP85,1)&amp;"/"&amp;COUNT(AP76:AP85)</f>
        <v/>
      </c>
    </row>
    <row r="77">
      <c r="A77" s="5" t="n">
        <v>46075</v>
      </c>
      <c r="B77" s="6" t="n">
        <v>54600</v>
      </c>
      <c r="C77" s="7" t="n">
        <v>51549.695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53704.664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57358.555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50134.555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43756.99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46346.348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</row>
    <row r="78">
      <c r="A78" s="5" t="n">
        <v>46082</v>
      </c>
      <c r="B78" s="6" t="n">
        <v>54000</v>
      </c>
      <c r="C78" s="7" t="n">
        <v>52712.7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53720.832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58008.273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48132.51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41599.516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45999.934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</row>
    <row r="79">
      <c r="A79" s="5" t="n">
        <v>46089</v>
      </c>
      <c r="B79" s="6" t="n">
        <v>54400</v>
      </c>
      <c r="C79" s="7" t="n">
        <v>52993.76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53882.7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58545.375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47177.043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41254.867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46214.62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</row>
    <row r="80">
      <c r="A80" s="5" t="n">
        <v>46096</v>
      </c>
      <c r="B80" s="6" t="n">
        <v>55600</v>
      </c>
      <c r="C80" s="7" t="n">
        <v>53806.1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54952.95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58074.344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48244.49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43212.758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47618.12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</row>
    <row r="81">
      <c r="A81" s="5" t="n">
        <v>46103</v>
      </c>
      <c r="B81" s="6" t="n">
        <v>56900</v>
      </c>
      <c r="C81" s="7" t="n">
        <v>52746.984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56086.15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59222.324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48178.582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41775.1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46362.043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</row>
    <row r="82">
      <c r="A82" s="5" t="n">
        <v>46110</v>
      </c>
      <c r="B82" s="6" t="n">
        <v>58200</v>
      </c>
      <c r="C82" s="7" t="n">
        <v>51330.8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56770.465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61065.508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47738.527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43163.38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47520.562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</row>
    <row r="83">
      <c r="A83" s="5" t="n">
        <v>46117</v>
      </c>
      <c r="B83" s="6" t="n">
        <v>59100</v>
      </c>
      <c r="C83" s="7" t="n">
        <v>52498.98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57681.594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62208.65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48771.6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44779.57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48426.902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</row>
    <row r="84">
      <c r="A84" s="5" t="n">
        <v>46124</v>
      </c>
      <c r="B84" s="6" t="n">
        <v>59500</v>
      </c>
      <c r="C84" s="7" t="n">
        <v>53630.766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59773.31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63126.508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47434.062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45007.848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47713.695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</row>
    <row r="85">
      <c r="A85" s="5" t="n">
        <v>46131</v>
      </c>
      <c r="B85" s="6" t="n">
        <v>59500</v>
      </c>
      <c r="C85" s="7" t="n">
        <v>57572.68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59880.11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63555.715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47344.586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45917.176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47407.652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</row>
  </sheetData>
  <mergeCells count="49">
    <mergeCell ref="AC40:AC51"/>
    <mergeCell ref="I1:O1"/>
    <mergeCell ref="O52:O63"/>
    <mergeCell ref="H16:H27"/>
    <mergeCell ref="AJ64:AJ75"/>
    <mergeCell ref="V16:V27"/>
    <mergeCell ref="H28:H39"/>
    <mergeCell ref="AC52:AC63"/>
    <mergeCell ref="AJ76:AJ85"/>
    <mergeCell ref="H76:H85"/>
    <mergeCell ref="AQ28:AQ39"/>
    <mergeCell ref="AQ40:AQ51"/>
    <mergeCell ref="AJ4:AJ15"/>
    <mergeCell ref="AJ40:AJ51"/>
    <mergeCell ref="V52:V63"/>
    <mergeCell ref="H4:H15"/>
    <mergeCell ref="AJ16:AJ27"/>
    <mergeCell ref="AJ52:AJ63"/>
    <mergeCell ref="AC16:AC27"/>
    <mergeCell ref="V64:V75"/>
    <mergeCell ref="O28:O39"/>
    <mergeCell ref="V76:V85"/>
    <mergeCell ref="AQ76:AQ85"/>
    <mergeCell ref="V4:V15"/>
    <mergeCell ref="P1:V1"/>
    <mergeCell ref="AC28:AC39"/>
    <mergeCell ref="A1:A3"/>
    <mergeCell ref="AQ16:AQ27"/>
    <mergeCell ref="H64:H75"/>
    <mergeCell ref="AC76:AC85"/>
    <mergeCell ref="V28:V39"/>
    <mergeCell ref="AD1:AJ1"/>
    <mergeCell ref="H40:H51"/>
    <mergeCell ref="W1:AC1"/>
    <mergeCell ref="V40:V51"/>
    <mergeCell ref="O4:O15"/>
    <mergeCell ref="H52:H63"/>
    <mergeCell ref="AQ52:AQ63"/>
    <mergeCell ref="B1:H1"/>
    <mergeCell ref="AC64:AC75"/>
    <mergeCell ref="AC4:AC15"/>
    <mergeCell ref="O16:O27"/>
    <mergeCell ref="AQ4:AQ15"/>
    <mergeCell ref="AQ64:AQ75"/>
    <mergeCell ref="O64:O75"/>
    <mergeCell ref="AJ28:AJ39"/>
    <mergeCell ref="O40:O51"/>
    <mergeCell ref="AK1:AQ1"/>
    <mergeCell ref="O76:O8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8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</row>
    <row r="3">
      <c r="D3" s="4">
        <f>AVERAGE(D4:D85)</f>
        <v/>
      </c>
      <c r="E3" s="4">
        <f>AVERAGE(E4:E85)</f>
        <v/>
      </c>
      <c r="F3" s="4">
        <f>AVERAGE(F4:F85)</f>
        <v/>
      </c>
      <c r="G3" s="4">
        <f>AVERAGE(G4:G85)</f>
        <v/>
      </c>
      <c r="K3" s="4">
        <f>AVERAGE(K4:K85)</f>
        <v/>
      </c>
      <c r="L3" s="4">
        <f>AVERAGE(L4:L85)</f>
        <v/>
      </c>
      <c r="M3" s="4">
        <f>AVERAGE(M4:M85)</f>
        <v/>
      </c>
      <c r="N3" s="4">
        <f>AVERAGE(N4:N85)</f>
        <v/>
      </c>
      <c r="R3" s="4">
        <f>AVERAGE(R4:R85)</f>
        <v/>
      </c>
      <c r="S3" s="4">
        <f>AVERAGE(S4:S85)</f>
        <v/>
      </c>
      <c r="T3" s="4">
        <f>AVERAGE(T4:T85)</f>
        <v/>
      </c>
      <c r="U3" s="4">
        <f>AVERAGE(U4:U85)</f>
        <v/>
      </c>
      <c r="Y3" s="4">
        <f>AVERAGE(Y4:Y85)</f>
        <v/>
      </c>
      <c r="Z3" s="4">
        <f>AVERAGE(Z4:Z85)</f>
        <v/>
      </c>
      <c r="AA3" s="4">
        <f>AVERAGE(AA4:AA85)</f>
        <v/>
      </c>
      <c r="AB3" s="4">
        <f>AVERAGE(AB4:AB85)</f>
        <v/>
      </c>
      <c r="AF3" s="4">
        <f>AVERAGE(AF4:AF85)</f>
        <v/>
      </c>
      <c r="AG3" s="4">
        <f>AVERAGE(AG4:AG85)</f>
        <v/>
      </c>
      <c r="AH3" s="4">
        <f>AVERAGE(AH4:AH85)</f>
        <v/>
      </c>
      <c r="AI3" s="4">
        <f>AVERAGE(AI4:AI85)</f>
        <v/>
      </c>
      <c r="AM3" s="4">
        <f>AVERAGE(AM4:AM85)</f>
        <v/>
      </c>
      <c r="AN3" s="4">
        <f>AVERAGE(AN4:AN85)</f>
        <v/>
      </c>
      <c r="AO3" s="4">
        <f>AVERAGE(AO4:AO85)</f>
        <v/>
      </c>
      <c r="AP3" s="4">
        <f>AVERAGE(AP4:AP85)</f>
        <v/>
      </c>
    </row>
    <row r="4">
      <c r="A4" s="5" t="n">
        <v>45564</v>
      </c>
      <c r="B4" s="6" t="n">
        <v>49000</v>
      </c>
      <c r="C4" s="7" t="n">
        <v>49981.15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46920.496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50849.348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48094.88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44083.887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49716.45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</row>
    <row r="5">
      <c r="A5" s="5" t="n">
        <v>45571</v>
      </c>
      <c r="B5" s="6" t="n">
        <v>49000</v>
      </c>
      <c r="C5" s="7" t="n">
        <v>49767.098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46701.816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51270.973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48311.71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43982.223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49819.332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</row>
    <row r="6">
      <c r="A6" s="5" t="n">
        <v>45578</v>
      </c>
      <c r="B6" s="6" t="n">
        <v>49200</v>
      </c>
      <c r="C6" s="7" t="n">
        <v>50101.105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47252.363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51492.86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48478.926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43843.766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49881.07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</row>
    <row r="7">
      <c r="A7" s="5" t="n">
        <v>45585</v>
      </c>
      <c r="B7" s="6" t="n">
        <v>49200</v>
      </c>
      <c r="C7" s="7" t="n">
        <v>50124.395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48409.414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52391.94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48219.297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43582.926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49546.94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</row>
    <row r="8">
      <c r="A8" s="5" t="n">
        <v>45592</v>
      </c>
      <c r="B8" s="6" t="n">
        <v>49200</v>
      </c>
      <c r="C8" s="7" t="n">
        <v>50354.41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48426.535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52800.54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48100.664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43252.695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49238.387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</row>
    <row r="9">
      <c r="A9" s="5" t="n">
        <v>45599</v>
      </c>
      <c r="B9" s="6" t="n">
        <v>49200</v>
      </c>
      <c r="C9" s="7" t="n">
        <v>50294.54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47998.55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53427.79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48344.258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42893.02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49236.977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</row>
    <row r="10">
      <c r="A10" s="5" t="n">
        <v>45606</v>
      </c>
      <c r="B10" s="6" t="n">
        <v>49000</v>
      </c>
      <c r="C10" s="7" t="n">
        <v>50468.887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47832.973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53653.92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48780.246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42604.94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49428.242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</row>
    <row r="11">
      <c r="A11" s="5" t="n">
        <v>45613</v>
      </c>
      <c r="B11" s="6" t="n">
        <v>49000</v>
      </c>
      <c r="C11" s="7" t="n">
        <v>50225.023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48058.418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53251.836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48418.324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42264.156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48958.473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</row>
    <row r="12">
      <c r="A12" s="5" t="n">
        <v>45620</v>
      </c>
      <c r="B12" s="6" t="n">
        <v>49000</v>
      </c>
      <c r="C12" s="7" t="n">
        <v>49936.31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48014.36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52663.406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48735.11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42026.63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49112.28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</row>
    <row r="13">
      <c r="A13" s="5" t="n">
        <v>45627</v>
      </c>
      <c r="B13" s="6" t="n">
        <v>48500</v>
      </c>
      <c r="C13" s="7" t="n">
        <v>50011.277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47682.27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52213.402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48556.895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42217.96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48812.92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</row>
    <row r="14">
      <c r="A14" s="5" t="n">
        <v>45634</v>
      </c>
      <c r="B14" s="6" t="n">
        <v>48200</v>
      </c>
      <c r="C14" s="7" t="n">
        <v>49878.258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47320.082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51409.293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48467.246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42155.77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48416.883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</row>
    <row r="15">
      <c r="A15" s="5" t="n">
        <v>45641</v>
      </c>
      <c r="B15" s="6" t="n">
        <v>48200</v>
      </c>
      <c r="C15" s="7" t="n">
        <v>50136.367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46973.613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50974.914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48336.203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42049.125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48026.117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</row>
    <row r="16">
      <c r="A16" s="5" t="n">
        <v>45648</v>
      </c>
      <c r="B16" s="6" t="n">
        <v>48200</v>
      </c>
      <c r="C16" s="7" t="n">
        <v>50097.87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47132.605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50089.816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47757.176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42265.555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47528.953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</row>
    <row r="17">
      <c r="A17" s="5" t="n">
        <v>45655</v>
      </c>
      <c r="B17" s="6" t="n">
        <v>48100</v>
      </c>
      <c r="C17" s="7" t="n">
        <v>50030.367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46607.723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50223.742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47739.832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42399.25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47164.707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</row>
    <row r="18">
      <c r="A18" s="5" t="n">
        <v>45662</v>
      </c>
      <c r="B18" s="6" t="n">
        <v>48100</v>
      </c>
      <c r="C18" s="7" t="n">
        <v>49603.848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46811.902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50425.543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48027.31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42141.875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47217.008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</row>
    <row r="19">
      <c r="A19" s="5" t="n">
        <v>45669</v>
      </c>
      <c r="B19" s="6" t="n">
        <v>48200</v>
      </c>
      <c r="C19" s="7" t="n">
        <v>49357.375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46655.52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50314.812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48831.418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42275.887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47499.66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</row>
    <row r="20">
      <c r="A20" s="5" t="n">
        <v>45676</v>
      </c>
      <c r="B20" s="6" t="n">
        <v>48500</v>
      </c>
      <c r="C20" s="7" t="n">
        <v>49321.395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46647.3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50579.426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48631.66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42278.58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47133.195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</row>
    <row r="21">
      <c r="A21" s="5" t="n">
        <v>45683</v>
      </c>
      <c r="B21" s="6" t="n">
        <v>48400</v>
      </c>
      <c r="C21" s="7" t="n">
        <v>49196.547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46560.223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50443.777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48274.418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42113.74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46864.312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</row>
    <row r="22">
      <c r="A22" s="5" t="n">
        <v>45690</v>
      </c>
      <c r="B22" s="6" t="n">
        <v>48600</v>
      </c>
      <c r="C22" s="7" t="n">
        <v>48947.664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47063.934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50974.027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48367.8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41811.4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47055.66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</row>
    <row r="23">
      <c r="A23" s="5" t="n">
        <v>45697</v>
      </c>
      <c r="B23" s="6" t="n">
        <v>49000</v>
      </c>
      <c r="C23" s="7" t="n">
        <v>48780.805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48282.324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51552.984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48297.742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41809.793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47378.273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</row>
    <row r="24">
      <c r="A24" s="5" t="n">
        <v>45704</v>
      </c>
      <c r="B24" s="6" t="n">
        <v>49000</v>
      </c>
      <c r="C24" s="7" t="n">
        <v>48291.824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48488.76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52254.816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48074.54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41813.902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47393.582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</row>
    <row r="25">
      <c r="A25" s="5" t="n">
        <v>45711</v>
      </c>
      <c r="B25" s="6" t="n">
        <v>49000</v>
      </c>
      <c r="C25" s="7" t="n">
        <v>47947.457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48375.73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52430.49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47899.617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41794.695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47341.094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</row>
    <row r="26">
      <c r="A26" s="5" t="n">
        <v>45718</v>
      </c>
      <c r="B26" s="6" t="n">
        <v>49000</v>
      </c>
      <c r="C26" s="7" t="n">
        <v>47927.363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48240.055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52768.51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47796.555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41807.016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47419.64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</row>
    <row r="27">
      <c r="A27" s="5" t="n">
        <v>45725</v>
      </c>
      <c r="B27" s="6" t="n">
        <v>49000</v>
      </c>
      <c r="C27" s="7" t="n">
        <v>47723.94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48093.43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52437.32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47668.785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42081.27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48001.21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</row>
    <row r="28">
      <c r="A28" s="5" t="n">
        <v>45732</v>
      </c>
      <c r="B28" s="6" t="n">
        <v>49500</v>
      </c>
      <c r="C28" s="7" t="n">
        <v>48683.67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48548.95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53132.895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47090.61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42523.953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47628.08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</row>
    <row r="29">
      <c r="A29" s="5" t="n">
        <v>45739</v>
      </c>
      <c r="B29" s="6" t="n">
        <v>49600</v>
      </c>
      <c r="C29" s="7" t="n">
        <v>48837.25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49350.69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53215.383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47100.94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42475.914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47350.848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</row>
    <row r="30">
      <c r="A30" s="5" t="n">
        <v>45746</v>
      </c>
      <c r="B30" s="6" t="n">
        <v>51500</v>
      </c>
      <c r="C30" s="7" t="n">
        <v>49095.74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50551.65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53623.195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47411.566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42403.92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47820.8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</row>
    <row r="31">
      <c r="A31" s="5" t="n">
        <v>45753</v>
      </c>
      <c r="B31" s="6" t="n">
        <v>52000</v>
      </c>
      <c r="C31" s="7" t="n">
        <v>49384.67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51817.938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53798.508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47574.77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42755.812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47833.344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</row>
    <row r="32">
      <c r="A32" s="5" t="n">
        <v>45760</v>
      </c>
      <c r="B32" s="6" t="n">
        <v>51500</v>
      </c>
      <c r="C32" s="7" t="n">
        <v>49466.586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52103.383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54125.332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47687.7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43089.28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47920.496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</row>
    <row r="33">
      <c r="A33" s="5" t="n">
        <v>45767</v>
      </c>
      <c r="B33" s="6" t="n">
        <v>51500</v>
      </c>
      <c r="C33" s="7" t="n">
        <v>49559.582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51650.87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54365.855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47497.71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43128.715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47979.094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</row>
    <row r="34">
      <c r="A34" s="5" t="n">
        <v>45774</v>
      </c>
      <c r="B34" s="6" t="n">
        <v>52500</v>
      </c>
      <c r="C34" s="7" t="n">
        <v>49617.375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51384.117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54363.027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47674.168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42907.17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48157.65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</row>
    <row r="35">
      <c r="A35" s="5" t="n">
        <v>45781</v>
      </c>
      <c r="B35" s="6" t="n">
        <v>53000</v>
      </c>
      <c r="C35" s="7" t="n">
        <v>49557.992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51952.93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54389.27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47629.39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42673.355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48520.008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</row>
    <row r="36">
      <c r="A36" s="5" t="n">
        <v>45788</v>
      </c>
      <c r="B36" s="6" t="n">
        <v>53000</v>
      </c>
      <c r="C36" s="7" t="n">
        <v>49396.3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52897.773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54450.836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47351.26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42482.64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48366.258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</row>
    <row r="37">
      <c r="A37" s="5" t="n">
        <v>45795</v>
      </c>
      <c r="B37" s="6" t="n">
        <v>53300</v>
      </c>
      <c r="C37" s="7" t="n">
        <v>49295.582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52733.91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54480.168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46819.586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42774.99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48028.08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</row>
    <row r="38">
      <c r="A38" s="5" t="n">
        <v>45802</v>
      </c>
      <c r="B38" s="6" t="n">
        <v>52800</v>
      </c>
      <c r="C38" s="7" t="n">
        <v>49346.363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51989.945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54059.207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45965.906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42986.82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47504.277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</row>
    <row r="39">
      <c r="A39" s="5" t="n">
        <v>45809</v>
      </c>
      <c r="B39" s="6" t="n">
        <v>52000</v>
      </c>
      <c r="C39" s="7" t="n">
        <v>49419.04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51635.543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53520.344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45235.53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42633.04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47014.324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</row>
    <row r="40">
      <c r="A40" s="5" t="n">
        <v>45816</v>
      </c>
      <c r="B40" s="6" t="n">
        <v>52000</v>
      </c>
      <c r="C40" s="7" t="n">
        <v>49318.21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51703.832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54087.457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47632.574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42940.055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48590.445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</row>
    <row r="41">
      <c r="A41" s="5" t="n">
        <v>45823</v>
      </c>
      <c r="B41" s="6" t="n">
        <v>52000</v>
      </c>
      <c r="C41" s="7" t="n">
        <v>49184.71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51464.645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53431.453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47114.73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42519.094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48839.906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</row>
    <row r="42">
      <c r="A42" s="5" t="n">
        <v>45830</v>
      </c>
      <c r="B42" s="6" t="n">
        <v>52000</v>
      </c>
      <c r="C42" s="7" t="n">
        <v>49324.242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51199.336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53034.21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46646.574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42071.91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48881.105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</row>
    <row r="43">
      <c r="A43" s="5" t="n">
        <v>45837</v>
      </c>
      <c r="B43" s="6" t="n">
        <v>51900</v>
      </c>
      <c r="C43" s="7" t="n">
        <v>49643.914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50929.035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52792.434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46141.254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41671.535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48746.76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</row>
    <row r="44">
      <c r="A44" s="5" t="n">
        <v>45844</v>
      </c>
      <c r="B44" s="6" t="n">
        <v>51600</v>
      </c>
      <c r="C44" s="7" t="n">
        <v>49858.92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50874.777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52372.156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45855.875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41166.547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48243.484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</row>
    <row r="45">
      <c r="A45" s="5" t="n">
        <v>45851</v>
      </c>
      <c r="B45" s="6" t="n">
        <v>51000</v>
      </c>
      <c r="C45" s="7" t="n">
        <v>50050.645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50525.1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51676.094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45073.21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40617.35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47356.895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</row>
    <row r="46">
      <c r="A46" s="5" t="n">
        <v>45858</v>
      </c>
      <c r="B46" s="6" t="n">
        <v>50500</v>
      </c>
      <c r="C46" s="7" t="n">
        <v>50618.703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49781.43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50632.723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44549.09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39977.023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46270.33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</row>
    <row r="47">
      <c r="A47" s="5" t="n">
        <v>45865</v>
      </c>
      <c r="B47" s="6" t="n">
        <v>50000</v>
      </c>
      <c r="C47" s="7" t="n">
        <v>51283.387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49368.434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49401.42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43994.742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39381.55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45434.93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</row>
    <row r="48">
      <c r="A48" s="5" t="n">
        <v>45872</v>
      </c>
      <c r="B48" s="6" t="n">
        <v>50000</v>
      </c>
      <c r="C48" s="7" t="n">
        <v>51315.383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49049.457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48389.18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43635.707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38925.688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44962.69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</row>
    <row r="49">
      <c r="A49" s="5" t="n">
        <v>45879</v>
      </c>
      <c r="B49" s="6" t="n">
        <v>50300</v>
      </c>
      <c r="C49" s="7" t="n">
        <v>50963.535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49546.188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47542.684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43448.6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38933.895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44994.14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</row>
    <row r="50">
      <c r="A50" s="5" t="n">
        <v>45886</v>
      </c>
      <c r="B50" s="6" t="n">
        <v>50500</v>
      </c>
      <c r="C50" s="7" t="n">
        <v>50705.24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50746.895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46706.516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43178.97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38882.035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45106.36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</row>
    <row r="51">
      <c r="A51" s="5" t="n">
        <v>45893</v>
      </c>
      <c r="B51" s="6" t="n">
        <v>50500</v>
      </c>
      <c r="C51" s="7" t="n">
        <v>51053.363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50626.31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45948.04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43378.285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39095.88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45181.164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</row>
    <row r="52">
      <c r="A52" s="5" t="n">
        <v>45900</v>
      </c>
      <c r="B52" s="6" t="n">
        <v>50700</v>
      </c>
      <c r="C52" s="7" t="n">
        <v>51973.7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49666.94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45464.637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43102.453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39015.734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46540.375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</row>
    <row r="53">
      <c r="A53" s="5" t="n">
        <v>45907</v>
      </c>
      <c r="B53" s="6" t="n">
        <v>50800</v>
      </c>
      <c r="C53" s="7" t="n">
        <v>52121.633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49485.957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45898.562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43344.656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39204.05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46610.26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</row>
    <row r="54">
      <c r="A54" s="5" t="n">
        <v>45914</v>
      </c>
      <c r="B54" s="6" t="n">
        <v>50500</v>
      </c>
      <c r="C54" s="7" t="n">
        <v>52082.4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49763.156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46629.402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43697.85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39354.977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46366.285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</row>
    <row r="55">
      <c r="A55" s="5" t="n">
        <v>45921</v>
      </c>
      <c r="B55" s="6" t="n">
        <v>50000</v>
      </c>
      <c r="C55" s="7" t="n">
        <v>52284.703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49636.234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47269.16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44231.934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39654.42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46082.13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</row>
    <row r="56">
      <c r="A56" s="5" t="n">
        <v>45928</v>
      </c>
      <c r="B56" s="6" t="n">
        <v>50000</v>
      </c>
      <c r="C56" s="7" t="n">
        <v>52036.094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49400.355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48122.33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44806.45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39883.72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46295.36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</row>
    <row r="57">
      <c r="A57" s="5" t="n">
        <v>45935</v>
      </c>
      <c r="B57" s="6" t="n">
        <v>50000</v>
      </c>
      <c r="C57" s="7" t="n">
        <v>51572.01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49346.613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49140.76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45418.984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40007.227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46096.68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</row>
    <row r="58">
      <c r="A58" s="5" t="n">
        <v>45942</v>
      </c>
      <c r="B58" s="6" t="n">
        <v>49800</v>
      </c>
      <c r="C58" s="7" t="n">
        <v>51495.17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48660.31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50143.582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45844.93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40146.32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45886.145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</row>
    <row r="59">
      <c r="A59" s="5" t="n">
        <v>45949</v>
      </c>
      <c r="B59" s="6" t="n">
        <v>49000</v>
      </c>
      <c r="C59" s="7" t="n">
        <v>51543.223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48374.07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51176.305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46174.066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40059.438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45285.207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</row>
    <row r="60">
      <c r="A60" s="5" t="n">
        <v>45956</v>
      </c>
      <c r="B60" s="6" t="n">
        <v>49000</v>
      </c>
      <c r="C60" s="7" t="n">
        <v>51295.164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47827.48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51587.645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46601.047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39884.164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44803.465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</row>
    <row r="61">
      <c r="A61" s="5" t="n">
        <v>45963</v>
      </c>
      <c r="B61" s="6" t="n">
        <v>49000</v>
      </c>
      <c r="C61" s="7" t="n">
        <v>50881.414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47884.305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51617.426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47012.133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39506.97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44399.758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</row>
    <row r="62">
      <c r="A62" s="5" t="n">
        <v>45970</v>
      </c>
      <c r="B62" s="6" t="n">
        <v>49600</v>
      </c>
      <c r="C62" s="7" t="n">
        <v>50536.926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47430.035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50670.023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47226.977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38996.223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44440.734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</row>
    <row r="63">
      <c r="A63" s="5" t="n">
        <v>45977</v>
      </c>
      <c r="B63" s="6" t="n">
        <v>49600</v>
      </c>
      <c r="C63" s="7" t="n">
        <v>50382.457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47471.24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49297.71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47136.227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38287.83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44135.117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</row>
    <row r="64">
      <c r="A64" s="5" t="n">
        <v>45984</v>
      </c>
      <c r="B64" s="6" t="n">
        <v>49000</v>
      </c>
      <c r="C64" s="7" t="n">
        <v>49154.29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47337.605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45070.945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44717.53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37013.75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42932.54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</row>
    <row r="65">
      <c r="A65" s="5" t="n">
        <v>45991</v>
      </c>
      <c r="B65" s="6" t="n">
        <v>48600</v>
      </c>
      <c r="C65" s="7" t="n">
        <v>48955.62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46841.086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45162.246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44330.72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37081.668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43065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</row>
    <row r="66">
      <c r="A66" s="5" t="n">
        <v>45998</v>
      </c>
      <c r="B66" s="6" t="n">
        <v>46700</v>
      </c>
      <c r="C66" s="7" t="n">
        <v>48714.203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46190.242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45173.51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43576.043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37482.73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42943.062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</row>
    <row r="67">
      <c r="A67" s="5" t="n">
        <v>46005</v>
      </c>
      <c r="B67" s="6" t="n">
        <v>46800</v>
      </c>
      <c r="C67" s="7" t="n">
        <v>48501.72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45661.246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45421.844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43074.73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37948.33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43336.312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</row>
    <row r="68">
      <c r="A68" s="5" t="n">
        <v>46012</v>
      </c>
      <c r="B68" s="6" t="n">
        <v>46800</v>
      </c>
      <c r="C68" s="7" t="n">
        <v>48190.11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45831.812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46115.824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42943.387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38056.926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43751.875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</row>
    <row r="69">
      <c r="A69" s="5" t="n">
        <v>46019</v>
      </c>
      <c r="B69" s="6" t="n">
        <v>48000</v>
      </c>
      <c r="C69" s="7" t="n">
        <v>48097.2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46880.6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46936.797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43072.19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38036.395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44443.184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</row>
    <row r="70">
      <c r="A70" s="5" t="n">
        <v>46026</v>
      </c>
      <c r="B70" s="6" t="n">
        <v>50400</v>
      </c>
      <c r="C70" s="7" t="n">
        <v>48552.68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48714.566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47503.543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43410.863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37995.008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45171.746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</row>
    <row r="71">
      <c r="A71" s="5" t="n">
        <v>46033</v>
      </c>
      <c r="B71" s="6" t="n">
        <v>51400</v>
      </c>
      <c r="C71" s="7" t="n">
        <v>49041.527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51001.375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48394.87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43850.586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38326.094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46354.637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</row>
    <row r="72">
      <c r="A72" s="5" t="n">
        <v>46040</v>
      </c>
      <c r="B72" s="6" t="n">
        <v>52000</v>
      </c>
      <c r="C72" s="7" t="n">
        <v>49724.902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50921.48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48948.234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44422.66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38554.363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46670.453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</row>
    <row r="73">
      <c r="A73" s="5" t="n">
        <v>46047</v>
      </c>
      <c r="B73" s="6" t="n">
        <v>53000</v>
      </c>
      <c r="C73" s="7" t="n">
        <v>49982.6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51894.27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49802.062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45120.094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38946.33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47369.633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</row>
    <row r="74">
      <c r="A74" s="5" t="n">
        <v>46054</v>
      </c>
      <c r="B74" s="6" t="n">
        <v>53400</v>
      </c>
      <c r="C74" s="7" t="n">
        <v>50410.984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52287.977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51035.69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45924.055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39587.305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47963.277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</row>
    <row r="75">
      <c r="A75" s="5" t="n">
        <v>46061</v>
      </c>
      <c r="B75" s="6" t="n">
        <v>55100</v>
      </c>
      <c r="C75" s="7" t="n">
        <v>50880.168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52938.79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52877.707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47256.016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39888.64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48233.74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</row>
    <row r="76">
      <c r="A76" s="5" t="n">
        <v>46068</v>
      </c>
      <c r="B76" s="6" t="n">
        <v>55200</v>
      </c>
      <c r="C76" s="7" t="n">
        <v>50011.062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COUNTIF(G76:G85,1)&amp;"/"&amp;COUNT(G76:G85)</f>
        <v/>
      </c>
      <c r="I76" s="6" t="n">
        <v>53650</v>
      </c>
      <c r="J76" s="7" t="n">
        <v>53904.316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COUNTIF(N76:N85,1)&amp;"/"&amp;COUNT(N76:N85)</f>
        <v/>
      </c>
      <c r="P76" s="6" t="n">
        <v>58900</v>
      </c>
      <c r="Q76" s="7" t="n">
        <v>48401.88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COUNTIF(U76:U85,1)&amp;"/"&amp;COUNT(U76:U85)</f>
        <v/>
      </c>
      <c r="W76" s="6" t="n">
        <v>50000</v>
      </c>
      <c r="X76" s="7" t="n">
        <v>51287.125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COUNTIF(AB76:AB85,1)&amp;"/"&amp;COUNT(AB76:AB85)</f>
        <v/>
      </c>
      <c r="AD76" s="6" t="n">
        <v>45266.67</v>
      </c>
      <c r="AE76" s="7" t="n">
        <v>40788.14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COUNTIF(AI76:AI85,1)&amp;"/"&amp;COUNT(AI76:AI85)</f>
        <v/>
      </c>
      <c r="AK76" s="6" t="n">
        <v>49800</v>
      </c>
      <c r="AL76" s="7" t="n">
        <v>48813.945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COUNTIF(AP76:AP85,1)&amp;"/"&amp;COUNT(AP76:AP85)</f>
        <v/>
      </c>
    </row>
    <row r="77">
      <c r="A77" s="5" t="n">
        <v>46075</v>
      </c>
      <c r="B77" s="6" t="n">
        <v>54600</v>
      </c>
      <c r="C77" s="7" t="n">
        <v>50756.094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53970.52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50211.156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51937.23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41683.51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49528.81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</row>
    <row r="78">
      <c r="A78" s="5" t="n">
        <v>46082</v>
      </c>
      <c r="B78" s="6" t="n">
        <v>54000</v>
      </c>
      <c r="C78" s="7" t="n">
        <v>51434.406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54248.94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52395.977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51709.375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42509.95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49481.266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</row>
    <row r="79">
      <c r="A79" s="5" t="n">
        <v>46089</v>
      </c>
      <c r="B79" s="6" t="n">
        <v>54400</v>
      </c>
      <c r="C79" s="7" t="n">
        <v>52036.227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53837.58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53981.668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51490.504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43067.215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49442.41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</row>
    <row r="80">
      <c r="A80" s="5" t="n">
        <v>46096</v>
      </c>
      <c r="B80" s="6" t="n">
        <v>55600</v>
      </c>
      <c r="C80" s="7" t="n">
        <v>52318.742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54150.832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55072.05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51521.316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43601.387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49658.344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</row>
    <row r="81">
      <c r="A81" s="5" t="n">
        <v>46103</v>
      </c>
      <c r="B81" s="6" t="n">
        <v>56900</v>
      </c>
      <c r="C81" s="7" t="n">
        <v>52485.19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55379.402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56963.383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51462.754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43884.367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49818.62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</row>
    <row r="82">
      <c r="A82" s="5" t="n">
        <v>46110</v>
      </c>
      <c r="B82" s="6" t="n">
        <v>58200</v>
      </c>
      <c r="C82" s="7" t="n">
        <v>52568.098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56579.86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58708.97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51333.86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44371.67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49955.566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</row>
    <row r="83">
      <c r="A83" s="5" t="n">
        <v>46117</v>
      </c>
      <c r="B83" s="6" t="n">
        <v>59100</v>
      </c>
      <c r="C83" s="7" t="n">
        <v>53001.977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57643.645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60161.79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51699.023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45077.105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50457.305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</row>
    <row r="84">
      <c r="A84" s="5" t="n">
        <v>46124</v>
      </c>
      <c r="B84" s="6" t="n">
        <v>59500</v>
      </c>
      <c r="C84" s="7" t="n">
        <v>53482.91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59260.14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61434.957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52290.86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46012.656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50954.29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</row>
    <row r="85">
      <c r="A85" s="5" t="n">
        <v>46131</v>
      </c>
      <c r="B85" s="6" t="n">
        <v>59500</v>
      </c>
      <c r="C85" s="7" t="n">
        <v>53933.805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58933.793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62376.5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53183.38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46652.914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51860.555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</row>
  </sheetData>
  <mergeCells count="49">
    <mergeCell ref="AC40:AC51"/>
    <mergeCell ref="I1:O1"/>
    <mergeCell ref="O52:O63"/>
    <mergeCell ref="H16:H27"/>
    <mergeCell ref="AJ64:AJ75"/>
    <mergeCell ref="V16:V27"/>
    <mergeCell ref="H28:H39"/>
    <mergeCell ref="AC52:AC63"/>
    <mergeCell ref="AJ76:AJ85"/>
    <mergeCell ref="H76:H85"/>
    <mergeCell ref="AQ28:AQ39"/>
    <mergeCell ref="AQ40:AQ51"/>
    <mergeCell ref="AJ4:AJ15"/>
    <mergeCell ref="AJ40:AJ51"/>
    <mergeCell ref="V52:V63"/>
    <mergeCell ref="H4:H15"/>
    <mergeCell ref="AJ16:AJ27"/>
    <mergeCell ref="AJ52:AJ63"/>
    <mergeCell ref="AC16:AC27"/>
    <mergeCell ref="V64:V75"/>
    <mergeCell ref="O28:O39"/>
    <mergeCell ref="V76:V85"/>
    <mergeCell ref="AQ76:AQ85"/>
    <mergeCell ref="V4:V15"/>
    <mergeCell ref="P1:V1"/>
    <mergeCell ref="AC28:AC39"/>
    <mergeCell ref="A1:A3"/>
    <mergeCell ref="AQ16:AQ27"/>
    <mergeCell ref="H64:H75"/>
    <mergeCell ref="AC76:AC85"/>
    <mergeCell ref="V28:V39"/>
    <mergeCell ref="AD1:AJ1"/>
    <mergeCell ref="H40:H51"/>
    <mergeCell ref="W1:AC1"/>
    <mergeCell ref="V40:V51"/>
    <mergeCell ref="O4:O15"/>
    <mergeCell ref="H52:H63"/>
    <mergeCell ref="AQ52:AQ63"/>
    <mergeCell ref="B1:H1"/>
    <mergeCell ref="AC64:AC75"/>
    <mergeCell ref="AC4:AC15"/>
    <mergeCell ref="O16:O27"/>
    <mergeCell ref="AQ4:AQ15"/>
    <mergeCell ref="AQ64:AQ75"/>
    <mergeCell ref="O64:O75"/>
    <mergeCell ref="AJ28:AJ39"/>
    <mergeCell ref="O40:O51"/>
    <mergeCell ref="AK1:AQ1"/>
    <mergeCell ref="O76:O8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8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</row>
    <row r="3">
      <c r="D3" s="4">
        <f>AVERAGE(D4:D85)</f>
        <v/>
      </c>
      <c r="E3" s="4">
        <f>AVERAGE(E4:E85)</f>
        <v/>
      </c>
      <c r="F3" s="4">
        <f>AVERAGE(F4:F85)</f>
        <v/>
      </c>
      <c r="G3" s="4">
        <f>AVERAGE(G4:G85)</f>
        <v/>
      </c>
      <c r="K3" s="4">
        <f>AVERAGE(K4:K85)</f>
        <v/>
      </c>
      <c r="L3" s="4">
        <f>AVERAGE(L4:L85)</f>
        <v/>
      </c>
      <c r="M3" s="4">
        <f>AVERAGE(M4:M85)</f>
        <v/>
      </c>
      <c r="N3" s="4">
        <f>AVERAGE(N4:N85)</f>
        <v/>
      </c>
      <c r="R3" s="4">
        <f>AVERAGE(R4:R85)</f>
        <v/>
      </c>
      <c r="S3" s="4">
        <f>AVERAGE(S4:S85)</f>
        <v/>
      </c>
      <c r="T3" s="4">
        <f>AVERAGE(T4:T85)</f>
        <v/>
      </c>
      <c r="U3" s="4">
        <f>AVERAGE(U4:U85)</f>
        <v/>
      </c>
      <c r="Y3" s="4">
        <f>AVERAGE(Y4:Y85)</f>
        <v/>
      </c>
      <c r="Z3" s="4">
        <f>AVERAGE(Z4:Z85)</f>
        <v/>
      </c>
      <c r="AA3" s="4">
        <f>AVERAGE(AA4:AA85)</f>
        <v/>
      </c>
      <c r="AB3" s="4">
        <f>AVERAGE(AB4:AB85)</f>
        <v/>
      </c>
      <c r="AF3" s="4">
        <f>AVERAGE(AF4:AF85)</f>
        <v/>
      </c>
      <c r="AG3" s="4">
        <f>AVERAGE(AG4:AG85)</f>
        <v/>
      </c>
      <c r="AH3" s="4">
        <f>AVERAGE(AH4:AH85)</f>
        <v/>
      </c>
      <c r="AI3" s="4">
        <f>AVERAGE(AI4:AI85)</f>
        <v/>
      </c>
      <c r="AM3" s="4">
        <f>AVERAGE(AM4:AM85)</f>
        <v/>
      </c>
      <c r="AN3" s="4">
        <f>AVERAGE(AN4:AN85)</f>
        <v/>
      </c>
      <c r="AO3" s="4">
        <f>AVERAGE(AO4:AO85)</f>
        <v/>
      </c>
      <c r="AP3" s="4">
        <f>AVERAGE(AP4:AP85)</f>
        <v/>
      </c>
    </row>
    <row r="4">
      <c r="A4" s="5" t="n">
        <v>45564</v>
      </c>
      <c r="B4" s="6" t="n">
        <v>49000</v>
      </c>
      <c r="C4" s="7" t="n">
        <v>51199.664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46944.586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63240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47500.01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42523.523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48489.043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</row>
    <row r="5">
      <c r="A5" s="5" t="n">
        <v>45571</v>
      </c>
      <c r="B5" s="6" t="n">
        <v>49000</v>
      </c>
      <c r="C5" s="7" t="n">
        <v>50900.3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46891.594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64137.56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46365.137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41472.945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47831.89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</row>
    <row r="6">
      <c r="A6" s="5" t="n">
        <v>45578</v>
      </c>
      <c r="B6" s="6" t="n">
        <v>49200</v>
      </c>
      <c r="C6" s="7" t="n">
        <v>50794.234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47545.582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64516.156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45732.266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40930.598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47636.414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</row>
    <row r="7">
      <c r="A7" s="5" t="n">
        <v>45585</v>
      </c>
      <c r="B7" s="6" t="n">
        <v>49200</v>
      </c>
      <c r="C7" s="7" t="n">
        <v>50641.57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48490.08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62922.445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45359.63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40905.383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47736.24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</row>
    <row r="8">
      <c r="A8" s="5" t="n">
        <v>45592</v>
      </c>
      <c r="B8" s="6" t="n">
        <v>49200</v>
      </c>
      <c r="C8" s="7" t="n">
        <v>50450.047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48504.73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61401.688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45696.938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41266.594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48045.95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</row>
    <row r="9">
      <c r="A9" s="5" t="n">
        <v>45599</v>
      </c>
      <c r="B9" s="6" t="n">
        <v>49200</v>
      </c>
      <c r="C9" s="7" t="n">
        <v>50237.54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48147.215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59972.664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46191.082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41444.79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48316.23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</row>
    <row r="10">
      <c r="A10" s="5" t="n">
        <v>45606</v>
      </c>
      <c r="B10" s="6" t="n">
        <v>49000</v>
      </c>
      <c r="C10" s="7" t="n">
        <v>50010.984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48020.79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58653.973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46961.562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41629.89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48620.273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</row>
    <row r="11">
      <c r="A11" s="5" t="n">
        <v>45613</v>
      </c>
      <c r="B11" s="6" t="n">
        <v>49000</v>
      </c>
      <c r="C11" s="7" t="n">
        <v>49861.54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48319.78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57347.41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47609.22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41946.703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48961.918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</row>
    <row r="12">
      <c r="A12" s="5" t="n">
        <v>45620</v>
      </c>
      <c r="B12" s="6" t="n">
        <v>49000</v>
      </c>
      <c r="C12" s="7" t="n">
        <v>49936.31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48201.527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56028.086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47877.21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42368.07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49189.86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</row>
    <row r="13">
      <c r="A13" s="5" t="n">
        <v>45627</v>
      </c>
      <c r="B13" s="6" t="n">
        <v>48500</v>
      </c>
      <c r="C13" s="7" t="n">
        <v>50049.562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48150.562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55314.348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47926.426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42808.37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49380.08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</row>
    <row r="14">
      <c r="A14" s="5" t="n">
        <v>45634</v>
      </c>
      <c r="B14" s="6" t="n">
        <v>48200</v>
      </c>
      <c r="C14" s="7" t="n">
        <v>50224.484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47937.24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54868.055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47811.91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43073.758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49554.848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</row>
    <row r="15">
      <c r="A15" s="5" t="n">
        <v>45641</v>
      </c>
      <c r="B15" s="6" t="n">
        <v>48200</v>
      </c>
      <c r="C15" s="7" t="n">
        <v>50416.58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47379.58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54547.348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47725.957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43117.1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49604.297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</row>
    <row r="16">
      <c r="A16" s="5" t="n">
        <v>45648</v>
      </c>
      <c r="B16" s="6" t="n">
        <v>48200</v>
      </c>
      <c r="C16" s="7" t="n">
        <v>50677.78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46976.2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55068.55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47791.414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42675.504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49715.086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</row>
    <row r="17">
      <c r="A17" s="5" t="n">
        <v>45655</v>
      </c>
      <c r="B17" s="6" t="n">
        <v>48100</v>
      </c>
      <c r="C17" s="7" t="n">
        <v>50800.418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46411.344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55102.113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48013.684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43270.234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49637.06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</row>
    <row r="18">
      <c r="A18" s="5" t="n">
        <v>45662</v>
      </c>
      <c r="B18" s="6" t="n">
        <v>48100</v>
      </c>
      <c r="C18" s="7" t="n">
        <v>51032.363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46559.863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55123.51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48048.926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44461.39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49391.04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</row>
    <row r="19">
      <c r="A19" s="5" t="n">
        <v>45669</v>
      </c>
      <c r="B19" s="6" t="n">
        <v>48200</v>
      </c>
      <c r="C19" s="7" t="n">
        <v>50975.246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46452.74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55137.605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47761.79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44865.645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49005.547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</row>
    <row r="20">
      <c r="A20" s="5" t="n">
        <v>45676</v>
      </c>
      <c r="B20" s="6" t="n">
        <v>48500</v>
      </c>
      <c r="C20" s="7" t="n">
        <v>50347.72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46441.844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54931.44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47114.066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43376.64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48540.137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</row>
    <row r="21">
      <c r="A21" s="5" t="n">
        <v>45683</v>
      </c>
      <c r="B21" s="6" t="n">
        <v>48400</v>
      </c>
      <c r="C21" s="7" t="n">
        <v>49754.59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46328.527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54840.906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46767.723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41784.305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48236.05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</row>
    <row r="22">
      <c r="A22" s="5" t="n">
        <v>45690</v>
      </c>
      <c r="B22" s="6" t="n">
        <v>48600</v>
      </c>
      <c r="C22" s="7" t="n">
        <v>49429.586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46830.695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55383.43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46895.945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41223.996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48110.523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</row>
    <row r="23">
      <c r="A23" s="5" t="n">
        <v>45697</v>
      </c>
      <c r="B23" s="6" t="n">
        <v>49000</v>
      </c>
      <c r="C23" s="7" t="n">
        <v>49261.566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48142.934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56161.8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47168.688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41088.38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48041.055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</row>
    <row r="24">
      <c r="A24" s="5" t="n">
        <v>45704</v>
      </c>
      <c r="B24" s="6" t="n">
        <v>49000</v>
      </c>
      <c r="C24" s="7" t="n">
        <v>49074.92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48451.613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56168.055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47301.36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40867.14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47989.348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</row>
    <row r="25">
      <c r="A25" s="5" t="n">
        <v>45711</v>
      </c>
      <c r="B25" s="6" t="n">
        <v>49000</v>
      </c>
      <c r="C25" s="7" t="n">
        <v>48941.414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48359.613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55568.816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47420.277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40613.152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48058.934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</row>
    <row r="26">
      <c r="A26" s="5" t="n">
        <v>45718</v>
      </c>
      <c r="B26" s="6" t="n">
        <v>49000</v>
      </c>
      <c r="C26" s="7" t="n">
        <v>48764.28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48165.938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55053.465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47616.19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40659.254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48174.4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</row>
    <row r="27">
      <c r="A27" s="5" t="n">
        <v>45725</v>
      </c>
      <c r="B27" s="6" t="n">
        <v>49000</v>
      </c>
      <c r="C27" s="7" t="n">
        <v>48620.035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47966.383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54894.504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47842.46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40836.973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48343.293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</row>
    <row r="28">
      <c r="A28" s="5" t="n">
        <v>45732</v>
      </c>
      <c r="B28" s="6" t="n">
        <v>49500</v>
      </c>
      <c r="C28" s="7" t="n">
        <v>47840.266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48522.047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55525.914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50415.793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40899.594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48492.598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</row>
    <row r="29">
      <c r="A29" s="5" t="n">
        <v>45739</v>
      </c>
      <c r="B29" s="6" t="n">
        <v>49600</v>
      </c>
      <c r="C29" s="7" t="n">
        <v>47255.273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49372.15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56081.32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49883.24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40972.453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48470.86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</row>
    <row r="30">
      <c r="A30" s="5" t="n">
        <v>45746</v>
      </c>
      <c r="B30" s="6" t="n">
        <v>51500</v>
      </c>
      <c r="C30" s="7" t="n">
        <v>46696.402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50415.215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56560.445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49006.12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40953.715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48401.496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</row>
    <row r="31">
      <c r="A31" s="5" t="n">
        <v>45753</v>
      </c>
      <c r="B31" s="6" t="n">
        <v>52000</v>
      </c>
      <c r="C31" s="7" t="n">
        <v>46439.457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51779.81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56682.742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47750.68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40714.57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48220.67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</row>
    <row r="32">
      <c r="A32" s="5" t="n">
        <v>45760</v>
      </c>
      <c r="B32" s="6" t="n">
        <v>51500</v>
      </c>
      <c r="C32" s="7" t="n">
        <v>46387.65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52130.504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56523.145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46729.344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40369.71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47948.723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</row>
    <row r="33">
      <c r="A33" s="5" t="n">
        <v>45767</v>
      </c>
      <c r="B33" s="6" t="n">
        <v>51500</v>
      </c>
      <c r="C33" s="7" t="n">
        <v>46498.19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51662.12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56184.54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45962.203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40163.258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47600.98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</row>
    <row r="34">
      <c r="A34" s="5" t="n">
        <v>45774</v>
      </c>
      <c r="B34" s="6" t="n">
        <v>52500</v>
      </c>
      <c r="C34" s="7" t="n">
        <v>46515.707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51179.703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55876.312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45212.52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40216.152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47113.37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</row>
    <row r="35">
      <c r="A35" s="5" t="n">
        <v>45781</v>
      </c>
      <c r="B35" s="6" t="n">
        <v>53000</v>
      </c>
      <c r="C35" s="7" t="n">
        <v>46351.26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51844.848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55656.52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44507.984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40283.953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46530.586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</row>
    <row r="36">
      <c r="A36" s="5" t="n">
        <v>45788</v>
      </c>
      <c r="B36" s="6" t="n">
        <v>53000</v>
      </c>
      <c r="C36" s="7" t="n">
        <v>45944.508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52629.508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55395.61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43944.242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40456.58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45772.06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</row>
    <row r="37">
      <c r="A37" s="5" t="n">
        <v>45795</v>
      </c>
      <c r="B37" s="6" t="n">
        <v>53300</v>
      </c>
      <c r="C37" s="7" t="n">
        <v>45395.15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52256.37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54769.883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43631.664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40604.62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45029.18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</row>
    <row r="38">
      <c r="A38" s="5" t="n">
        <v>45802</v>
      </c>
      <c r="B38" s="6" t="n">
        <v>52800</v>
      </c>
      <c r="C38" s="7" t="n">
        <v>45009.723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51749.93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53935.855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43599.21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40902.15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44679.016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</row>
    <row r="39">
      <c r="A39" s="5" t="n">
        <v>45809</v>
      </c>
      <c r="B39" s="6" t="n">
        <v>52000</v>
      </c>
      <c r="C39" s="7" t="n">
        <v>44972.22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51723.414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53218.742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43653.6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41226.043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44888.61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</row>
    <row r="40">
      <c r="A40" s="5" t="n">
        <v>45816</v>
      </c>
      <c r="B40" s="6" t="n">
        <v>52000</v>
      </c>
      <c r="C40" s="7" t="n">
        <v>45884.863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51550.34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52172.26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43940.637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40565.85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45569.758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</row>
    <row r="41">
      <c r="A41" s="5" t="n">
        <v>45823</v>
      </c>
      <c r="B41" s="6" t="n">
        <v>52000</v>
      </c>
      <c r="C41" s="7" t="n">
        <v>46505.895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51701.945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52132.746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44033.57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40798.258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45478.68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</row>
    <row r="42">
      <c r="A42" s="5" t="n">
        <v>45830</v>
      </c>
      <c r="B42" s="6" t="n">
        <v>52000</v>
      </c>
      <c r="C42" s="7" t="n">
        <v>47176.25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51641.668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52062.6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44155.76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41051.297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45747.918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</row>
    <row r="43">
      <c r="A43" s="5" t="n">
        <v>45837</v>
      </c>
      <c r="B43" s="6" t="n">
        <v>51900</v>
      </c>
      <c r="C43" s="7" t="n">
        <v>47732.105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51300.6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51888.33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44353.62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41326.31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46032.176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</row>
    <row r="44">
      <c r="A44" s="5" t="n">
        <v>45844</v>
      </c>
      <c r="B44" s="6" t="n">
        <v>51600</v>
      </c>
      <c r="C44" s="7" t="n">
        <v>48180.824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51081.05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51601.098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44503.438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41442.918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46079.887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</row>
    <row r="45">
      <c r="A45" s="5" t="n">
        <v>45851</v>
      </c>
      <c r="B45" s="6" t="n">
        <v>51000</v>
      </c>
      <c r="C45" s="7" t="n">
        <v>48485.406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50522.91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51328.44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44639.2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41308.47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46004.85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</row>
    <row r="46">
      <c r="A46" s="5" t="n">
        <v>45858</v>
      </c>
      <c r="B46" s="6" t="n">
        <v>50500</v>
      </c>
      <c r="C46" s="7" t="n">
        <v>48728.562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49650.316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51048.68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44994.73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41074.85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45852.402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</row>
    <row r="47">
      <c r="A47" s="5" t="n">
        <v>45865</v>
      </c>
      <c r="B47" s="6" t="n">
        <v>50000</v>
      </c>
      <c r="C47" s="7" t="n">
        <v>48966.695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49088.746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50734.227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45021.098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40671.87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45531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</row>
    <row r="48">
      <c r="A48" s="5" t="n">
        <v>45872</v>
      </c>
      <c r="B48" s="6" t="n">
        <v>50000</v>
      </c>
      <c r="C48" s="7" t="n">
        <v>49259.445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48626.59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50639.273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44781.81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40107.496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45290.97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</row>
    <row r="49">
      <c r="A49" s="5" t="n">
        <v>45879</v>
      </c>
      <c r="B49" s="6" t="n">
        <v>50300</v>
      </c>
      <c r="C49" s="7" t="n">
        <v>49563.074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49088.23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50739.242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44458.97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39932.355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45337.438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</row>
    <row r="50">
      <c r="A50" s="5" t="n">
        <v>45886</v>
      </c>
      <c r="B50" s="6" t="n">
        <v>50500</v>
      </c>
      <c r="C50" s="7" t="n">
        <v>49942.504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50164.527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50866.21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44235.09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39802.297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45992.92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</row>
    <row r="51">
      <c r="A51" s="5" t="n">
        <v>45893</v>
      </c>
      <c r="B51" s="6" t="n">
        <v>50500</v>
      </c>
      <c r="C51" s="7" t="n">
        <v>50450.69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50045.742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51171.83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43999.97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39624.523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47461.293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</row>
    <row r="52">
      <c r="A52" s="5" t="n">
        <v>45900</v>
      </c>
      <c r="B52" s="6" t="n">
        <v>50700</v>
      </c>
      <c r="C52" s="7" t="n">
        <v>50898.984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50113.418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50557.707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44470.066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43132.4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47498.09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</row>
    <row r="53">
      <c r="A53" s="5" t="n">
        <v>45907</v>
      </c>
      <c r="B53" s="6" t="n">
        <v>50800</v>
      </c>
      <c r="C53" s="7" t="n">
        <v>51717.55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50030.35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51684.59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45031.78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43780.89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47379.555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</row>
    <row r="54">
      <c r="A54" s="5" t="n">
        <v>45914</v>
      </c>
      <c r="B54" s="6" t="n">
        <v>50500</v>
      </c>
      <c r="C54" s="7" t="n">
        <v>52308.5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50032.965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52759.22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45910.406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43551.996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47170.246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</row>
    <row r="55">
      <c r="A55" s="5" t="n">
        <v>45921</v>
      </c>
      <c r="B55" s="6" t="n">
        <v>50000</v>
      </c>
      <c r="C55" s="7" t="n">
        <v>52772.61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49886.21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53395.27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46647.062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42712.973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47019.99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</row>
    <row r="56">
      <c r="A56" s="5" t="n">
        <v>45928</v>
      </c>
      <c r="B56" s="6" t="n">
        <v>50000</v>
      </c>
      <c r="C56" s="7" t="n">
        <v>53166.03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49503.77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53416.832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46602.234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41908.594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46908.473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</row>
    <row r="57">
      <c r="A57" s="5" t="n">
        <v>45935</v>
      </c>
      <c r="B57" s="6" t="n">
        <v>50000</v>
      </c>
      <c r="C57" s="7" t="n">
        <v>53476.906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48967.516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53430.465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46070.23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41103.87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46700.625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</row>
    <row r="58">
      <c r="A58" s="5" t="n">
        <v>45942</v>
      </c>
      <c r="B58" s="6" t="n">
        <v>49800</v>
      </c>
      <c r="C58" s="7" t="n">
        <v>53689.715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48383.49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53487.82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45331.027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40175.98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46421.3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</row>
    <row r="59">
      <c r="A59" s="5" t="n">
        <v>45949</v>
      </c>
      <c r="B59" s="6" t="n">
        <v>49000</v>
      </c>
      <c r="C59" s="7" t="n">
        <v>53923.824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48185.742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53477.906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44881.223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39560.14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46192.082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</row>
    <row r="60">
      <c r="A60" s="5" t="n">
        <v>45956</v>
      </c>
      <c r="B60" s="6" t="n">
        <v>49000</v>
      </c>
      <c r="C60" s="7" t="n">
        <v>54114.797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47820.16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53321.562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44746.832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39109.234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45942.06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</row>
    <row r="61">
      <c r="A61" s="5" t="n">
        <v>45963</v>
      </c>
      <c r="B61" s="6" t="n">
        <v>49000</v>
      </c>
      <c r="C61" s="7" t="n">
        <v>54282.875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47908.895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53307.047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44825.777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38872.242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45635.26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</row>
    <row r="62">
      <c r="A62" s="5" t="n">
        <v>45970</v>
      </c>
      <c r="B62" s="6" t="n">
        <v>49600</v>
      </c>
      <c r="C62" s="7" t="n">
        <v>54498.668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47336.53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53371.95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44929.688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38818.348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45310.656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</row>
    <row r="63">
      <c r="A63" s="5" t="n">
        <v>45977</v>
      </c>
      <c r="B63" s="6" t="n">
        <v>49600</v>
      </c>
      <c r="C63" s="7" t="n">
        <v>54585.055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47653.69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53506.07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44932.42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38754.74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45128.633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</row>
    <row r="64">
      <c r="A64" s="5" t="n">
        <v>45984</v>
      </c>
      <c r="B64" s="6" t="n">
        <v>49000</v>
      </c>
      <c r="C64" s="7" t="n">
        <v>54717.004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47080.395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52677.145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44030.28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38311.883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44498.1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</row>
    <row r="65">
      <c r="A65" s="5" t="n">
        <v>45991</v>
      </c>
      <c r="B65" s="6" t="n">
        <v>48600</v>
      </c>
      <c r="C65" s="7" t="n">
        <v>54530.023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46748.76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52715.004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44017.094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37833.844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44057.5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</row>
    <row r="66">
      <c r="A66" s="5" t="n">
        <v>45998</v>
      </c>
      <c r="B66" s="6" t="n">
        <v>46700</v>
      </c>
      <c r="C66" s="7" t="n">
        <v>54339.12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46239.637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53035.21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44073.508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37429.34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43811.207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</row>
    <row r="67">
      <c r="A67" s="5" t="n">
        <v>46005</v>
      </c>
      <c r="B67" s="6" t="n">
        <v>46800</v>
      </c>
      <c r="C67" s="7" t="n">
        <v>54284.863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45794.15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53206.652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43884.695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36956.887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43458.906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</row>
    <row r="68">
      <c r="A68" s="5" t="n">
        <v>46012</v>
      </c>
      <c r="B68" s="6" t="n">
        <v>46800</v>
      </c>
      <c r="C68" s="7" t="n">
        <v>54056.035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45818.797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52884.652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43231.188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36515.32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42870.363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</row>
    <row r="69">
      <c r="A69" s="5" t="n">
        <v>46019</v>
      </c>
      <c r="B69" s="6" t="n">
        <v>48000</v>
      </c>
      <c r="C69" s="7" t="n">
        <v>53421.848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46907.617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51636.66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42206.7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36061.56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42074.434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</row>
    <row r="70">
      <c r="A70" s="5" t="n">
        <v>46026</v>
      </c>
      <c r="B70" s="6" t="n">
        <v>50400</v>
      </c>
      <c r="C70" s="7" t="n">
        <v>52440.164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48974.496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49674.36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41443.56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35704.473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41314.547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</row>
    <row r="71">
      <c r="A71" s="5" t="n">
        <v>46033</v>
      </c>
      <c r="B71" s="6" t="n">
        <v>51400</v>
      </c>
      <c r="C71" s="7" t="n">
        <v>51297.344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51697.777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47977.96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41428.875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35515.934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40591.637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</row>
    <row r="72">
      <c r="A72" s="5" t="n">
        <v>46040</v>
      </c>
      <c r="B72" s="6" t="n">
        <v>52000</v>
      </c>
      <c r="C72" s="7" t="n">
        <v>50177.863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51833.203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46882.965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41749.492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35465.766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40030.59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</row>
    <row r="73">
      <c r="A73" s="5" t="n">
        <v>46047</v>
      </c>
      <c r="B73" s="6" t="n">
        <v>53000</v>
      </c>
      <c r="C73" s="7" t="n">
        <v>49373.543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52900.47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46806.25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42265.516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35605.82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39770.867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</row>
    <row r="74">
      <c r="A74" s="5" t="n">
        <v>46054</v>
      </c>
      <c r="B74" s="6" t="n">
        <v>53400</v>
      </c>
      <c r="C74" s="7" t="n">
        <v>49019.81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53519.824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47133.695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42825.504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35736.32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39664.21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</row>
    <row r="75">
      <c r="A75" s="5" t="n">
        <v>46061</v>
      </c>
      <c r="B75" s="6" t="n">
        <v>55100</v>
      </c>
      <c r="C75" s="7" t="n">
        <v>48671.055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54132.1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47472.402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43329.062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36035.94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39670.15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</row>
    <row r="76">
      <c r="A76" s="5" t="n">
        <v>46068</v>
      </c>
      <c r="B76" s="6" t="n">
        <v>55200</v>
      </c>
      <c r="C76" s="7" t="n">
        <v>48110.883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COUNTIF(G76:G85,1)&amp;"/"&amp;COUNT(G76:G85)</f>
        <v/>
      </c>
      <c r="I76" s="6" t="n">
        <v>53650</v>
      </c>
      <c r="J76" s="7" t="n">
        <v>54305.773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COUNTIF(N76:N85,1)&amp;"/"&amp;COUNT(N76:N85)</f>
        <v/>
      </c>
      <c r="P76" s="6" t="n">
        <v>58900</v>
      </c>
      <c r="Q76" s="7" t="n">
        <v>52076.707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COUNTIF(U76:U85,1)&amp;"/"&amp;COUNT(U76:U85)</f>
        <v/>
      </c>
      <c r="W76" s="6" t="n">
        <v>50000</v>
      </c>
      <c r="X76" s="7" t="n">
        <v>45474.508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COUNTIF(AB76:AB85,1)&amp;"/"&amp;COUNT(AB76:AB85)</f>
        <v/>
      </c>
      <c r="AD76" s="6" t="n">
        <v>45266.67</v>
      </c>
      <c r="AE76" s="7" t="n">
        <v>37142.016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COUNTIF(AI76:AI85,1)&amp;"/"&amp;COUNT(AI76:AI85)</f>
        <v/>
      </c>
      <c r="AK76" s="6" t="n">
        <v>49800</v>
      </c>
      <c r="AL76" s="7" t="n">
        <v>44789.543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COUNTIF(AP76:AP85,1)&amp;"/"&amp;COUNT(AP76:AP85)</f>
        <v/>
      </c>
    </row>
    <row r="77">
      <c r="A77" s="5" t="n">
        <v>46075</v>
      </c>
      <c r="B77" s="6" t="n">
        <v>54600</v>
      </c>
      <c r="C77" s="7" t="n">
        <v>48399.133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53980.242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54704.273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45611.973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37433.395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45352.938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</row>
    <row r="78">
      <c r="A78" s="5" t="n">
        <v>46082</v>
      </c>
      <c r="B78" s="6" t="n">
        <v>54000</v>
      </c>
      <c r="C78" s="7" t="n">
        <v>48731.88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53967.926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56724.14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45819.01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37928.516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45808.527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</row>
    <row r="79">
      <c r="A79" s="5" t="n">
        <v>46089</v>
      </c>
      <c r="B79" s="6" t="n">
        <v>54400</v>
      </c>
      <c r="C79" s="7" t="n">
        <v>48930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54272.008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57771.887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46058.938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38582.297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46176.645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</row>
    <row r="80">
      <c r="A80" s="5" t="n">
        <v>46096</v>
      </c>
      <c r="B80" s="6" t="n">
        <v>55600</v>
      </c>
      <c r="C80" s="7" t="n">
        <v>49040.387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55268.13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58934.082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46937.137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39574.03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46471.15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</row>
    <row r="81">
      <c r="A81" s="5" t="n">
        <v>46103</v>
      </c>
      <c r="B81" s="6" t="n">
        <v>56900</v>
      </c>
      <c r="C81" s="7" t="n">
        <v>49348.41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56473.605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60708.395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48152.125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40812.836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46611.777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</row>
    <row r="82">
      <c r="A82" s="5" t="n">
        <v>46110</v>
      </c>
      <c r="B82" s="6" t="n">
        <v>58200</v>
      </c>
      <c r="C82" s="7" t="n">
        <v>50409.664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57205.547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64502.37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49027.082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41853.32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46482.742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</row>
    <row r="83">
      <c r="A83" s="5" t="n">
        <v>46117</v>
      </c>
      <c r="B83" s="6" t="n">
        <v>59100</v>
      </c>
      <c r="C83" s="7" t="n">
        <v>51417.527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58115.363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66654.87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49948.996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42426.19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46676.727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</row>
    <row r="84">
      <c r="A84" s="5" t="n">
        <v>46124</v>
      </c>
      <c r="B84" s="6" t="n">
        <v>59500</v>
      </c>
      <c r="C84" s="7" t="n">
        <v>52260.664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59898.625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67731.24000000001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50866.31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42931.254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47382.438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</row>
    <row r="85">
      <c r="A85" s="5" t="n">
        <v>46131</v>
      </c>
      <c r="B85" s="6" t="n">
        <v>59500</v>
      </c>
      <c r="C85" s="7" t="n">
        <v>52704.258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59689.58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68709.87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51540.66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43386.58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48627.4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</row>
  </sheetData>
  <mergeCells count="49">
    <mergeCell ref="AC40:AC51"/>
    <mergeCell ref="I1:O1"/>
    <mergeCell ref="O52:O63"/>
    <mergeCell ref="H16:H27"/>
    <mergeCell ref="AJ64:AJ75"/>
    <mergeCell ref="V16:V27"/>
    <mergeCell ref="H28:H39"/>
    <mergeCell ref="AC52:AC63"/>
    <mergeCell ref="AJ76:AJ85"/>
    <mergeCell ref="H76:H85"/>
    <mergeCell ref="AQ28:AQ39"/>
    <mergeCell ref="AQ40:AQ51"/>
    <mergeCell ref="AJ4:AJ15"/>
    <mergeCell ref="AJ40:AJ51"/>
    <mergeCell ref="V52:V63"/>
    <mergeCell ref="H4:H15"/>
    <mergeCell ref="AJ16:AJ27"/>
    <mergeCell ref="AJ52:AJ63"/>
    <mergeCell ref="AC16:AC27"/>
    <mergeCell ref="V64:V75"/>
    <mergeCell ref="O28:O39"/>
    <mergeCell ref="V76:V85"/>
    <mergeCell ref="AQ76:AQ85"/>
    <mergeCell ref="V4:V15"/>
    <mergeCell ref="P1:V1"/>
    <mergeCell ref="AC28:AC39"/>
    <mergeCell ref="A1:A3"/>
    <mergeCell ref="AQ16:AQ27"/>
    <mergeCell ref="H64:H75"/>
    <mergeCell ref="AC76:AC85"/>
    <mergeCell ref="V28:V39"/>
    <mergeCell ref="AD1:AJ1"/>
    <mergeCell ref="H40:H51"/>
    <mergeCell ref="W1:AC1"/>
    <mergeCell ref="V40:V51"/>
    <mergeCell ref="O4:O15"/>
    <mergeCell ref="H52:H63"/>
    <mergeCell ref="AQ52:AQ63"/>
    <mergeCell ref="B1:H1"/>
    <mergeCell ref="AC64:AC75"/>
    <mergeCell ref="AC4:AC15"/>
    <mergeCell ref="O16:O27"/>
    <mergeCell ref="AQ4:AQ15"/>
    <mergeCell ref="AQ64:AQ75"/>
    <mergeCell ref="O64:O75"/>
    <mergeCell ref="AJ28:AJ39"/>
    <mergeCell ref="O40:O51"/>
    <mergeCell ref="AK1:AQ1"/>
    <mergeCell ref="O76:O8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Q8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</row>
    <row r="3">
      <c r="D3" s="4">
        <f>AVERAGE(D4:D85)</f>
        <v/>
      </c>
      <c r="E3" s="4">
        <f>AVERAGE(E4:E85)</f>
        <v/>
      </c>
      <c r="F3" s="4">
        <f>AVERAGE(F4:F85)</f>
        <v/>
      </c>
      <c r="G3" s="4">
        <f>AVERAGE(G4:G85)</f>
        <v/>
      </c>
      <c r="K3" s="4">
        <f>AVERAGE(K4:K85)</f>
        <v/>
      </c>
      <c r="L3" s="4">
        <f>AVERAGE(L4:L85)</f>
        <v/>
      </c>
      <c r="M3" s="4">
        <f>AVERAGE(M4:M85)</f>
        <v/>
      </c>
      <c r="N3" s="4">
        <f>AVERAGE(N4:N85)</f>
        <v/>
      </c>
      <c r="R3" s="4">
        <f>AVERAGE(R4:R85)</f>
        <v/>
      </c>
      <c r="S3" s="4">
        <f>AVERAGE(S4:S85)</f>
        <v/>
      </c>
      <c r="T3" s="4">
        <f>AVERAGE(T4:T85)</f>
        <v/>
      </c>
      <c r="U3" s="4">
        <f>AVERAGE(U4:U85)</f>
        <v/>
      </c>
      <c r="Y3" s="4">
        <f>AVERAGE(Y4:Y85)</f>
        <v/>
      </c>
      <c r="Z3" s="4">
        <f>AVERAGE(Z4:Z85)</f>
        <v/>
      </c>
      <c r="AA3" s="4">
        <f>AVERAGE(AA4:AA85)</f>
        <v/>
      </c>
      <c r="AB3" s="4">
        <f>AVERAGE(AB4:AB85)</f>
        <v/>
      </c>
      <c r="AF3" s="4">
        <f>AVERAGE(AF4:AF85)</f>
        <v/>
      </c>
      <c r="AG3" s="4">
        <f>AVERAGE(AG4:AG85)</f>
        <v/>
      </c>
      <c r="AH3" s="4">
        <f>AVERAGE(AH4:AH85)</f>
        <v/>
      </c>
      <c r="AI3" s="4">
        <f>AVERAGE(AI4:AI85)</f>
        <v/>
      </c>
      <c r="AM3" s="4">
        <f>AVERAGE(AM4:AM85)</f>
        <v/>
      </c>
      <c r="AN3" s="4">
        <f>AVERAGE(AN4:AN85)</f>
        <v/>
      </c>
      <c r="AO3" s="4">
        <f>AVERAGE(AO4:AO85)</f>
        <v/>
      </c>
      <c r="AP3" s="4">
        <f>AVERAGE(AP4:AP85)</f>
        <v/>
      </c>
    </row>
    <row r="4">
      <c r="A4" s="5" t="n">
        <v>45564</v>
      </c>
      <c r="B4" s="6" t="n">
        <v>49000</v>
      </c>
      <c r="C4" s="7" t="n">
        <v>51180.625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47164.39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50893.52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43230.953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39371.152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46329.836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</row>
    <row r="5">
      <c r="A5" s="5" t="n">
        <v>45571</v>
      </c>
      <c r="B5" s="6" t="n">
        <v>49000</v>
      </c>
      <c r="C5" s="7" t="n">
        <v>50823.473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47096.996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51259.996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44187.76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40178.875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46691.055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</row>
    <row r="6">
      <c r="A6" s="5" t="n">
        <v>45578</v>
      </c>
      <c r="B6" s="6" t="n">
        <v>49200</v>
      </c>
      <c r="C6" s="7" t="n">
        <v>50871.25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47484.195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52020.25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46143.62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41877.58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47481.062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</row>
    <row r="7">
      <c r="A7" s="5" t="n">
        <v>45585</v>
      </c>
      <c r="B7" s="6" t="n">
        <v>49200</v>
      </c>
      <c r="C7" s="7" t="n">
        <v>50948.043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48257.99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53091.168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47660.9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42865.727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48139.777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</row>
    <row r="8">
      <c r="A8" s="5" t="n">
        <v>45592</v>
      </c>
      <c r="B8" s="6" t="n">
        <v>49200</v>
      </c>
      <c r="C8" s="7" t="n">
        <v>50909.11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48513.965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53611.746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48125.832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43185.438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48590.473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</row>
    <row r="9">
      <c r="A9" s="5" t="n">
        <v>45599</v>
      </c>
      <c r="B9" s="6" t="n">
        <v>49200</v>
      </c>
      <c r="C9" s="7" t="n">
        <v>51016.54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48342.66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53417.547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48057.027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43296.625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48879.67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</row>
    <row r="10">
      <c r="A10" s="5" t="n">
        <v>45606</v>
      </c>
      <c r="B10" s="6" t="n">
        <v>49000</v>
      </c>
      <c r="C10" s="7" t="n">
        <v>51031.723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48116.37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53304.668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47981.62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43433.336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49175.54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</row>
    <row r="11">
      <c r="A11" s="5" t="n">
        <v>45613</v>
      </c>
      <c r="B11" s="6" t="n">
        <v>49000</v>
      </c>
      <c r="C11" s="7" t="n">
        <v>50923.293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48093.99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53340.184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48101.625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43587.543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49551.79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</row>
    <row r="12">
      <c r="A12" s="5" t="n">
        <v>45620</v>
      </c>
      <c r="B12" s="6" t="n">
        <v>49000</v>
      </c>
      <c r="C12" s="7" t="n">
        <v>50805.395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47995.52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53201.652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48367.74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43511.51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49707.043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</row>
    <row r="13">
      <c r="A13" s="5" t="n">
        <v>45627</v>
      </c>
      <c r="B13" s="6" t="n">
        <v>48500</v>
      </c>
      <c r="C13" s="7" t="n">
        <v>50566.4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48073.51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52926.32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48236.39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43079.64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49642.207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</row>
    <row r="14">
      <c r="A14" s="5" t="n">
        <v>45634</v>
      </c>
      <c r="B14" s="6" t="n">
        <v>48200</v>
      </c>
      <c r="C14" s="7" t="n">
        <v>50243.72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47502.98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52472.766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48072.35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42560.17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49413.863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</row>
    <row r="15">
      <c r="A15" s="5" t="n">
        <v>45641</v>
      </c>
      <c r="B15" s="6" t="n">
        <v>48200</v>
      </c>
      <c r="C15" s="7" t="n">
        <v>49798.18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46953.406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52036.72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47874.797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42106.195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49199.703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</row>
    <row r="16">
      <c r="A16" s="5" t="n">
        <v>45648</v>
      </c>
      <c r="B16" s="6" t="n">
        <v>48200</v>
      </c>
      <c r="C16" s="7" t="n">
        <v>49382.652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46981.746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51739.457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47791.414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41773.613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49646.145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</row>
    <row r="17">
      <c r="A17" s="5" t="n">
        <v>45655</v>
      </c>
      <c r="B17" s="6" t="n">
        <v>48100</v>
      </c>
      <c r="C17" s="7" t="n">
        <v>49154.438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46436.035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51418.445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47830.395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42192.367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49450.26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</row>
    <row r="18">
      <c r="A18" s="5" t="n">
        <v>45662</v>
      </c>
      <c r="B18" s="6" t="n">
        <v>48100</v>
      </c>
      <c r="C18" s="7" t="n">
        <v>48839.426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46645.223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51191.95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48289.414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42834.824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49256.613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</row>
    <row r="19">
      <c r="A19" s="5" t="n">
        <v>45669</v>
      </c>
      <c r="B19" s="6" t="n">
        <v>48200</v>
      </c>
      <c r="C19" s="7" t="n">
        <v>48668.1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46864.62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50931.332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48913.695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43539.96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49042.023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</row>
    <row r="20">
      <c r="A20" s="5" t="n">
        <v>45676</v>
      </c>
      <c r="B20" s="6" t="n">
        <v>48500</v>
      </c>
      <c r="C20" s="7" t="n">
        <v>48659.56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46572.273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50599.297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49282.055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43418.555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48524.97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</row>
    <row r="21">
      <c r="A21" s="5" t="n">
        <v>45683</v>
      </c>
      <c r="B21" s="6" t="n">
        <v>48400</v>
      </c>
      <c r="C21" s="7" t="n">
        <v>48840.56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46564.117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50542.812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49098.426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43104.152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48209.08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</row>
    <row r="22">
      <c r="A22" s="5" t="n">
        <v>45690</v>
      </c>
      <c r="B22" s="6" t="n">
        <v>48600</v>
      </c>
      <c r="C22" s="7" t="n">
        <v>48812.727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46973.242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50589.312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48334.277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42756.355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47879.16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</row>
    <row r="23">
      <c r="A23" s="5" t="n">
        <v>45697</v>
      </c>
      <c r="B23" s="6" t="n">
        <v>49000</v>
      </c>
      <c r="C23" s="7" t="n">
        <v>48761.574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48105.36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51002.68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47623.81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42526.91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48009.492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</row>
    <row r="24">
      <c r="A24" s="5" t="n">
        <v>45704</v>
      </c>
      <c r="B24" s="6" t="n">
        <v>49000</v>
      </c>
      <c r="C24" s="7" t="n">
        <v>48750.223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48257.55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51489.824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47296.973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42046.29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48231.625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</row>
    <row r="25">
      <c r="A25" s="5" t="n">
        <v>45711</v>
      </c>
      <c r="B25" s="6" t="n">
        <v>49000</v>
      </c>
      <c r="C25" s="7" t="n">
        <v>48837.285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48312.91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52205.625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47582.99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41993.055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48238.39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</row>
    <row r="26">
      <c r="A26" s="5" t="n">
        <v>45718</v>
      </c>
      <c r="B26" s="6" t="n">
        <v>49000</v>
      </c>
      <c r="C26" s="7" t="n">
        <v>48999.37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48287.84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52926.516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47715.17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41962.35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47885.344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</row>
    <row r="27">
      <c r="A27" s="5" t="n">
        <v>45725</v>
      </c>
      <c r="B27" s="6" t="n">
        <v>49000</v>
      </c>
      <c r="C27" s="7" t="n">
        <v>49114.754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48314.504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53587.125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47655.594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42297.293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47647.06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</row>
    <row r="28">
      <c r="A28" s="5" t="n">
        <v>45732</v>
      </c>
      <c r="B28" s="6" t="n">
        <v>49500</v>
      </c>
      <c r="C28" s="7" t="n">
        <v>48831.965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48736.312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53745.008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47217.996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42402.99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47482.984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</row>
    <row r="29">
      <c r="A29" s="5" t="n">
        <v>45739</v>
      </c>
      <c r="B29" s="6" t="n">
        <v>49600</v>
      </c>
      <c r="C29" s="7" t="n">
        <v>48901.633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49518.47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54401.703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46855.188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42398.15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47391.207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</row>
    <row r="30">
      <c r="A30" s="5" t="n">
        <v>45746</v>
      </c>
      <c r="B30" s="6" t="n">
        <v>51500</v>
      </c>
      <c r="C30" s="7" t="n">
        <v>49004.16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50516.203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54895.844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46717.52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42447.082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47344.957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</row>
    <row r="31">
      <c r="A31" s="5" t="n">
        <v>45753</v>
      </c>
      <c r="B31" s="6" t="n">
        <v>52000</v>
      </c>
      <c r="C31" s="7" t="n">
        <v>49311.727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52003.043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55514.816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46932.688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42690.94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47462.15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</row>
    <row r="32">
      <c r="A32" s="5" t="n">
        <v>45760</v>
      </c>
      <c r="B32" s="6" t="n">
        <v>51500</v>
      </c>
      <c r="C32" s="7" t="n">
        <v>49612.766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52164.434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56024.38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47344.8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43121.79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47920.496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</row>
    <row r="33">
      <c r="A33" s="5" t="n">
        <v>45767</v>
      </c>
      <c r="B33" s="6" t="n">
        <v>51500</v>
      </c>
      <c r="C33" s="7" t="n">
        <v>49934.26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51751.12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56123.832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47488.934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43360.324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48321.008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</row>
    <row r="34">
      <c r="A34" s="5" t="n">
        <v>45774</v>
      </c>
      <c r="B34" s="6" t="n">
        <v>52500</v>
      </c>
      <c r="C34" s="7" t="n">
        <v>50078.742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51369.73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56183.06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47541.867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43531.246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48674.883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</row>
    <row r="35">
      <c r="A35" s="5" t="n">
        <v>45781</v>
      </c>
      <c r="B35" s="6" t="n">
        <v>53000</v>
      </c>
      <c r="C35" s="7" t="n">
        <v>50183.81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52048.957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56005.4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47565.43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43577.504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48839.53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</row>
    <row r="36">
      <c r="A36" s="5" t="n">
        <v>45788</v>
      </c>
      <c r="B36" s="6" t="n">
        <v>53000</v>
      </c>
      <c r="C36" s="7" t="n">
        <v>50218.047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52634.09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55791.805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47401.305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43497.15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48756.133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</row>
    <row r="37">
      <c r="A37" s="5" t="n">
        <v>45795</v>
      </c>
      <c r="B37" s="6" t="n">
        <v>53300</v>
      </c>
      <c r="C37" s="7" t="n">
        <v>50382.85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52303.93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55681.12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47103.656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43311.684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48634.27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</row>
    <row r="38">
      <c r="A38" s="5" t="n">
        <v>45802</v>
      </c>
      <c r="B38" s="6" t="n">
        <v>52800</v>
      </c>
      <c r="C38" s="7" t="n">
        <v>50342.434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51746.555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55532.81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46803.805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43060.73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48329.69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</row>
    <row r="39">
      <c r="A39" s="5" t="n">
        <v>45809</v>
      </c>
      <c r="B39" s="6" t="n">
        <v>52000</v>
      </c>
      <c r="C39" s="7" t="n">
        <v>50359.035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51690.934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55252.797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46405.082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42650.984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48024.96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</row>
    <row r="40">
      <c r="A40" s="5" t="n">
        <v>45816</v>
      </c>
      <c r="B40" s="6" t="n">
        <v>52000</v>
      </c>
      <c r="C40" s="7" t="n">
        <v>50072.188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51309.812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54377.914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45830.312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41974.535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47450.94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</row>
    <row r="41">
      <c r="A41" s="5" t="n">
        <v>45823</v>
      </c>
      <c r="B41" s="6" t="n">
        <v>52000</v>
      </c>
      <c r="C41" s="7" t="n">
        <v>50072.176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51275.684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53551.457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45261.445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41470.7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47019.242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</row>
    <row r="42">
      <c r="A42" s="5" t="n">
        <v>45830</v>
      </c>
      <c r="B42" s="6" t="n">
        <v>52000</v>
      </c>
      <c r="C42" s="7" t="n">
        <v>50131.71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50761.348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52552.668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44675.582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40983.633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46716.945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</row>
    <row r="43">
      <c r="A43" s="5" t="n">
        <v>45837</v>
      </c>
      <c r="B43" s="6" t="n">
        <v>51900</v>
      </c>
      <c r="C43" s="7" t="n">
        <v>50244.66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50696.78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51602.38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43921.566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40449.543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46368.094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</row>
    <row r="44">
      <c r="A44" s="5" t="n">
        <v>45844</v>
      </c>
      <c r="B44" s="6" t="n">
        <v>51600</v>
      </c>
      <c r="C44" s="7" t="n">
        <v>50383.55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50734.133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50558.9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43262.77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40050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46258.812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</row>
    <row r="45">
      <c r="A45" s="5" t="n">
        <v>45851</v>
      </c>
      <c r="B45" s="6" t="n">
        <v>51000</v>
      </c>
      <c r="C45" s="7" t="n">
        <v>50634.637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50353.91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49520.645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42410.49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39676.977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45887.496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</row>
    <row r="46">
      <c r="A46" s="5" t="n">
        <v>45858</v>
      </c>
      <c r="B46" s="6" t="n">
        <v>50500</v>
      </c>
      <c r="C46" s="7" t="n">
        <v>50767.074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49424.977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48697.605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41949.53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39445.816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45373.316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</row>
    <row r="47">
      <c r="A47" s="5" t="n">
        <v>45865</v>
      </c>
      <c r="B47" s="6" t="n">
        <v>50000</v>
      </c>
      <c r="C47" s="7" t="n">
        <v>50862.17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49245.18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48201.895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41942.04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39529.016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44901.227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</row>
    <row r="48">
      <c r="A48" s="5" t="n">
        <v>45872</v>
      </c>
      <c r="B48" s="6" t="n">
        <v>50000</v>
      </c>
      <c r="C48" s="7" t="n">
        <v>50937.453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48862.016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48014.164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42462.637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39683.586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45159.656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</row>
    <row r="49">
      <c r="A49" s="5" t="n">
        <v>45879</v>
      </c>
      <c r="B49" s="6" t="n">
        <v>50300</v>
      </c>
      <c r="C49" s="7" t="n">
        <v>51197.445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49444.3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48407.16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43088.742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40076.87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45835.77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</row>
    <row r="50">
      <c r="A50" s="5" t="n">
        <v>45886</v>
      </c>
      <c r="B50" s="6" t="n">
        <v>50500</v>
      </c>
      <c r="C50" s="7" t="n">
        <v>51511.875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50337.05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49001.52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43776.51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40242.42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46408.145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</row>
    <row r="51">
      <c r="A51" s="5" t="n">
        <v>45893</v>
      </c>
      <c r="B51" s="6" t="n">
        <v>50500</v>
      </c>
      <c r="C51" s="7" t="n">
        <v>51771.816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50038.2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49570.145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44041.418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40410.715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46682.766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</row>
    <row r="52">
      <c r="A52" s="5" t="n">
        <v>45900</v>
      </c>
      <c r="B52" s="6" t="n">
        <v>50700</v>
      </c>
      <c r="C52" s="7" t="n">
        <v>51688.69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50260.14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49504.71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44939.754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40371.81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46655.676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</row>
    <row r="53">
      <c r="A53" s="5" t="n">
        <v>45907</v>
      </c>
      <c r="B53" s="6" t="n">
        <v>50800</v>
      </c>
      <c r="C53" s="7" t="n">
        <v>51765.09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50034.824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49814.914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45004.12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40537.793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46604.367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</row>
    <row r="54">
      <c r="A54" s="5" t="n">
        <v>45914</v>
      </c>
      <c r="B54" s="6" t="n">
        <v>50500</v>
      </c>
      <c r="C54" s="7" t="n">
        <v>51642.094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49625.594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50094.7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45079.83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40517.227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46475.09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</row>
    <row r="55">
      <c r="A55" s="5" t="n">
        <v>45921</v>
      </c>
      <c r="B55" s="6" t="n">
        <v>50000</v>
      </c>
      <c r="C55" s="7" t="n">
        <v>51487.39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49352.637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50088.465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45079.348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40654.473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46456.047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</row>
    <row r="56">
      <c r="A56" s="5" t="n">
        <v>45928</v>
      </c>
      <c r="B56" s="6" t="n">
        <v>50000</v>
      </c>
      <c r="C56" s="7" t="n">
        <v>51304.61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49196.504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50585.45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45092.63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40742.53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46326.64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</row>
    <row r="57">
      <c r="A57" s="5" t="n">
        <v>45935</v>
      </c>
      <c r="B57" s="6" t="n">
        <v>50000</v>
      </c>
      <c r="C57" s="7" t="n">
        <v>50950.85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49036.113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50574.785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45193.41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40713.285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46096.68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</row>
    <row r="58">
      <c r="A58" s="5" t="n">
        <v>45942</v>
      </c>
      <c r="B58" s="6" t="n">
        <v>49800</v>
      </c>
      <c r="C58" s="7" t="n">
        <v>50606.76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48485.44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50080.125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45137.387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40591.22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45728.746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</row>
    <row r="59">
      <c r="A59" s="5" t="n">
        <v>45949</v>
      </c>
      <c r="B59" s="6" t="n">
        <v>49000</v>
      </c>
      <c r="C59" s="7" t="n">
        <v>50332.4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48132.26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49583.387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45101.77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40375.17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45591.668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</row>
    <row r="60">
      <c r="A60" s="5" t="n">
        <v>45956</v>
      </c>
      <c r="B60" s="6" t="n">
        <v>49000</v>
      </c>
      <c r="C60" s="7" t="n">
        <v>49908.844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47670.266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49170.77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44943.15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39988.48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45471.355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</row>
    <row r="61">
      <c r="A61" s="5" t="n">
        <v>45963</v>
      </c>
      <c r="B61" s="6" t="n">
        <v>49000</v>
      </c>
      <c r="C61" s="7" t="n">
        <v>49630.88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47731.105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48993.98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44727.883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39460.523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45328.055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</row>
    <row r="62">
      <c r="A62" s="5" t="n">
        <v>45970</v>
      </c>
      <c r="B62" s="6" t="n">
        <v>49600</v>
      </c>
      <c r="C62" s="7" t="n">
        <v>49322.465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47136.848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48758.414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44552.52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38980.05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44997.484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</row>
    <row r="63">
      <c r="A63" s="5" t="n">
        <v>45977</v>
      </c>
      <c r="B63" s="6" t="n">
        <v>49600</v>
      </c>
      <c r="C63" s="7" t="n">
        <v>49085.285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47473.316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48643.984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44353.645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38537.957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44639.074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</row>
    <row r="64">
      <c r="A64" s="5" t="n">
        <v>45984</v>
      </c>
      <c r="B64" s="6" t="n">
        <v>49000</v>
      </c>
      <c r="C64" s="7" t="n">
        <v>48873.816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47120.332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47392.184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43487.715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37919.023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43671.01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</row>
    <row r="65">
      <c r="A65" s="5" t="n">
        <v>45991</v>
      </c>
      <c r="B65" s="6" t="n">
        <v>48600</v>
      </c>
      <c r="C65" s="7" t="n">
        <v>48745.266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46629.027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47350.23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43463.645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37781.367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43711.63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</row>
    <row r="66">
      <c r="A66" s="5" t="n">
        <v>45998</v>
      </c>
      <c r="B66" s="6" t="n">
        <v>46700</v>
      </c>
      <c r="C66" s="7" t="n">
        <v>48714.203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46420.297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47551.13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43679.293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37803.074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43917.824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</row>
    <row r="67">
      <c r="A67" s="5" t="n">
        <v>46005</v>
      </c>
      <c r="B67" s="6" t="n">
        <v>46800</v>
      </c>
      <c r="C67" s="7" t="n">
        <v>48453.42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46057.93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47774.395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43999.043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37894.25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44133.184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</row>
    <row r="68">
      <c r="A68" s="5" t="n">
        <v>46012</v>
      </c>
      <c r="B68" s="6" t="n">
        <v>46800</v>
      </c>
      <c r="C68" s="7" t="n">
        <v>48314.387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46175.676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47754.14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44123.363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37948.105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44076.645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</row>
    <row r="69">
      <c r="A69" s="5" t="n">
        <v>46019</v>
      </c>
      <c r="B69" s="6" t="n">
        <v>48000</v>
      </c>
      <c r="C69" s="7" t="n">
        <v>48161.043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47066.77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48030.793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44341.574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38091.25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44087.098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</row>
    <row r="70">
      <c r="A70" s="5" t="n">
        <v>46026</v>
      </c>
      <c r="B70" s="6" t="n">
        <v>50400</v>
      </c>
      <c r="C70" s="7" t="n">
        <v>48271.348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48966.707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48624.89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44917.527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38581.383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44398.758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</row>
    <row r="71">
      <c r="A71" s="5" t="n">
        <v>46033</v>
      </c>
      <c r="B71" s="6" t="n">
        <v>51400</v>
      </c>
      <c r="C71" s="7" t="n">
        <v>48688.664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51422.87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50794.81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46514.47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39852.14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45917.09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</row>
    <row r="72">
      <c r="A72" s="5" t="n">
        <v>46040</v>
      </c>
      <c r="B72" s="6" t="n">
        <v>52000</v>
      </c>
      <c r="C72" s="7" t="n">
        <v>49037.95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51116.69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52176.117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47798.26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40716.383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47328.277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</row>
    <row r="73">
      <c r="A73" s="5" t="n">
        <v>46047</v>
      </c>
      <c r="B73" s="6" t="n">
        <v>53000</v>
      </c>
      <c r="C73" s="7" t="n">
        <v>49417.27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52115.17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53075.54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48855.29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41812.656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48728.562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</row>
    <row r="74">
      <c r="A74" s="5" t="n">
        <v>46054</v>
      </c>
      <c r="B74" s="6" t="n">
        <v>53400</v>
      </c>
      <c r="C74" s="7" t="n">
        <v>50199.36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52567.21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54337.38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50081.633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43294.95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50275.86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</row>
    <row r="75">
      <c r="A75" s="5" t="n">
        <v>46061</v>
      </c>
      <c r="B75" s="6" t="n">
        <v>55100</v>
      </c>
      <c r="C75" s="7" t="n">
        <v>50815.574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53257.137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55933.547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50849.64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44301.387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51176.953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</row>
    <row r="76">
      <c r="A76" s="5" t="n">
        <v>46068</v>
      </c>
      <c r="B76" s="6" t="n">
        <v>55200</v>
      </c>
      <c r="C76" s="7" t="n">
        <v>51492.035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COUNTIF(G76:G85,1)&amp;"/"&amp;COUNT(G76:G85)</f>
        <v/>
      </c>
      <c r="I76" s="6" t="n">
        <v>53650</v>
      </c>
      <c r="J76" s="7" t="n">
        <v>53786.605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COUNTIF(N76:N85,1)&amp;"/"&amp;COUNT(N76:N85)</f>
        <v/>
      </c>
      <c r="P76" s="6" t="n">
        <v>58900</v>
      </c>
      <c r="Q76" s="7" t="n">
        <v>57842.387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COUNTIF(U76:U85,1)&amp;"/"&amp;COUNT(U76:U85)</f>
        <v/>
      </c>
      <c r="W76" s="6" t="n">
        <v>50000</v>
      </c>
      <c r="X76" s="7" t="n">
        <v>51861.473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COUNTIF(AB76:AB85,1)&amp;"/"&amp;COUNT(AB76:AB85)</f>
        <v/>
      </c>
      <c r="AD76" s="6" t="n">
        <v>45266.67</v>
      </c>
      <c r="AE76" s="7" t="n">
        <v>45853.56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COUNTIF(AI76:AI85,1)&amp;"/"&amp;COUNT(AI76:AI85)</f>
        <v/>
      </c>
      <c r="AK76" s="6" t="n">
        <v>49800</v>
      </c>
      <c r="AL76" s="7" t="n">
        <v>50826.145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COUNTIF(AP76:AP85,1)&amp;"/"&amp;COUNT(AP76:AP85)</f>
        <v/>
      </c>
    </row>
    <row r="77">
      <c r="A77" s="5" t="n">
        <v>46075</v>
      </c>
      <c r="B77" s="6" t="n">
        <v>54600</v>
      </c>
      <c r="C77" s="7" t="n">
        <v>52307.31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53678.52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58821.6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52760.383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46750.914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51754.793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</row>
    <row r="78">
      <c r="A78" s="5" t="n">
        <v>46082</v>
      </c>
      <c r="B78" s="6" t="n">
        <v>54000</v>
      </c>
      <c r="C78" s="7" t="n">
        <v>52909.195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53850.11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58976.47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52826.652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46484.574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51717.227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</row>
    <row r="79">
      <c r="A79" s="5" t="n">
        <v>46089</v>
      </c>
      <c r="B79" s="6" t="n">
        <v>54400</v>
      </c>
      <c r="C79" s="7" t="n">
        <v>52980.273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53899.473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58805.586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52305.38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46148.688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51549.36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</row>
    <row r="80">
      <c r="A80" s="5" t="n">
        <v>46096</v>
      </c>
      <c r="B80" s="6" t="n">
        <v>55600</v>
      </c>
      <c r="C80" s="7" t="n">
        <v>53188.83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54274.156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59323.83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52324.383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46684.18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52171.305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</row>
    <row r="81">
      <c r="A81" s="5" t="n">
        <v>46103</v>
      </c>
      <c r="B81" s="6" t="n">
        <v>56900</v>
      </c>
      <c r="C81" s="7" t="n">
        <v>53595.63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55408.23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60126.645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52486.66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47353.766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52511.168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</row>
    <row r="82">
      <c r="A82" s="5" t="n">
        <v>46110</v>
      </c>
      <c r="B82" s="6" t="n">
        <v>58200</v>
      </c>
      <c r="C82" s="7" t="n">
        <v>54122.17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56459.32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60825.79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52233.5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47654.53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52579.53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</row>
    <row r="83">
      <c r="A83" s="5" t="n">
        <v>46117</v>
      </c>
      <c r="B83" s="6" t="n">
        <v>59100</v>
      </c>
      <c r="C83" s="7" t="n">
        <v>54845.01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57730.617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61067.8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52422.367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47807.195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52435.48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</row>
    <row r="84">
      <c r="A84" s="5" t="n">
        <v>46124</v>
      </c>
      <c r="B84" s="6" t="n">
        <v>59500</v>
      </c>
      <c r="C84" s="7" t="n">
        <v>55752.797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59596.29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62356.363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53667.12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49105.348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53366.938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</row>
    <row r="85">
      <c r="A85" s="5" t="n">
        <v>46131</v>
      </c>
      <c r="B85" s="6" t="n">
        <v>59500</v>
      </c>
      <c r="C85" s="7" t="n">
        <v>56704.453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59452.746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63314.777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55154.64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49861.543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54322.05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</row>
  </sheetData>
  <mergeCells count="49">
    <mergeCell ref="AC40:AC51"/>
    <mergeCell ref="I1:O1"/>
    <mergeCell ref="O52:O63"/>
    <mergeCell ref="H16:H27"/>
    <mergeCell ref="AJ64:AJ75"/>
    <mergeCell ref="V16:V27"/>
    <mergeCell ref="H28:H39"/>
    <mergeCell ref="AC52:AC63"/>
    <mergeCell ref="AJ76:AJ85"/>
    <mergeCell ref="H76:H85"/>
    <mergeCell ref="AQ28:AQ39"/>
    <mergeCell ref="AQ40:AQ51"/>
    <mergeCell ref="AJ4:AJ15"/>
    <mergeCell ref="AJ40:AJ51"/>
    <mergeCell ref="V52:V63"/>
    <mergeCell ref="H4:H15"/>
    <mergeCell ref="AJ16:AJ27"/>
    <mergeCell ref="AJ52:AJ63"/>
    <mergeCell ref="AC16:AC27"/>
    <mergeCell ref="V64:V75"/>
    <mergeCell ref="O28:O39"/>
    <mergeCell ref="V76:V85"/>
    <mergeCell ref="AQ76:AQ85"/>
    <mergeCell ref="V4:V15"/>
    <mergeCell ref="P1:V1"/>
    <mergeCell ref="AC28:AC39"/>
    <mergeCell ref="A1:A3"/>
    <mergeCell ref="AQ16:AQ27"/>
    <mergeCell ref="H64:H75"/>
    <mergeCell ref="AC76:AC85"/>
    <mergeCell ref="V28:V39"/>
    <mergeCell ref="AD1:AJ1"/>
    <mergeCell ref="H40:H51"/>
    <mergeCell ref="W1:AC1"/>
    <mergeCell ref="V40:V51"/>
    <mergeCell ref="O4:O15"/>
    <mergeCell ref="H52:H63"/>
    <mergeCell ref="AQ52:AQ63"/>
    <mergeCell ref="B1:H1"/>
    <mergeCell ref="AC64:AC75"/>
    <mergeCell ref="AC4:AC15"/>
    <mergeCell ref="O16:O27"/>
    <mergeCell ref="AQ4:AQ15"/>
    <mergeCell ref="AQ64:AQ75"/>
    <mergeCell ref="O64:O75"/>
    <mergeCell ref="AJ28:AJ39"/>
    <mergeCell ref="O40:O51"/>
    <mergeCell ref="AK1:AQ1"/>
    <mergeCell ref="O76:O8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8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</row>
    <row r="3">
      <c r="D3" s="4">
        <f>AVERAGE(D4:D85)</f>
        <v/>
      </c>
      <c r="E3" s="4">
        <f>AVERAGE(E4:E85)</f>
        <v/>
      </c>
      <c r="F3" s="4">
        <f>AVERAGE(F4:F85)</f>
        <v/>
      </c>
      <c r="G3" s="4">
        <f>AVERAGE(G4:G85)</f>
        <v/>
      </c>
      <c r="K3" s="4">
        <f>AVERAGE(K4:K85)</f>
        <v/>
      </c>
      <c r="L3" s="4">
        <f>AVERAGE(L4:L85)</f>
        <v/>
      </c>
      <c r="M3" s="4">
        <f>AVERAGE(M4:M85)</f>
        <v/>
      </c>
      <c r="N3" s="4">
        <f>AVERAGE(N4:N85)</f>
        <v/>
      </c>
      <c r="R3" s="4">
        <f>AVERAGE(R4:R85)</f>
        <v/>
      </c>
      <c r="S3" s="4">
        <f>AVERAGE(S4:S85)</f>
        <v/>
      </c>
      <c r="T3" s="4">
        <f>AVERAGE(T4:T85)</f>
        <v/>
      </c>
      <c r="U3" s="4">
        <f>AVERAGE(U4:U85)</f>
        <v/>
      </c>
      <c r="Y3" s="4">
        <f>AVERAGE(Y4:Y85)</f>
        <v/>
      </c>
      <c r="Z3" s="4">
        <f>AVERAGE(Z4:Z85)</f>
        <v/>
      </c>
      <c r="AA3" s="4">
        <f>AVERAGE(AA4:AA85)</f>
        <v/>
      </c>
      <c r="AB3" s="4">
        <f>AVERAGE(AB4:AB85)</f>
        <v/>
      </c>
      <c r="AF3" s="4">
        <f>AVERAGE(AF4:AF85)</f>
        <v/>
      </c>
      <c r="AG3" s="4">
        <f>AVERAGE(AG4:AG85)</f>
        <v/>
      </c>
      <c r="AH3" s="4">
        <f>AVERAGE(AH4:AH85)</f>
        <v/>
      </c>
      <c r="AI3" s="4">
        <f>AVERAGE(AI4:AI85)</f>
        <v/>
      </c>
      <c r="AM3" s="4">
        <f>AVERAGE(AM4:AM85)</f>
        <v/>
      </c>
      <c r="AN3" s="4">
        <f>AVERAGE(AN4:AN85)</f>
        <v/>
      </c>
      <c r="AO3" s="4">
        <f>AVERAGE(AO4:AO85)</f>
        <v/>
      </c>
      <c r="AP3" s="4">
        <f>AVERAGE(AP4:AP85)</f>
        <v/>
      </c>
    </row>
    <row r="4">
      <c r="A4" s="5" t="n">
        <v>45564</v>
      </c>
      <c r="B4" s="6" t="n">
        <v>49000</v>
      </c>
      <c r="C4" s="7" t="n">
        <v>51075.01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46697.105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50287.83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46791.934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41235.164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47186.21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</row>
    <row r="5">
      <c r="A5" s="5" t="n">
        <v>45571</v>
      </c>
      <c r="B5" s="6" t="n">
        <v>49000</v>
      </c>
      <c r="C5" s="7" t="n">
        <v>50374.188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46612.055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50011.145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47385.27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42299.152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47802.836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</row>
    <row r="6">
      <c r="A6" s="5" t="n">
        <v>45578</v>
      </c>
      <c r="B6" s="6" t="n">
        <v>49200</v>
      </c>
      <c r="C6" s="7" t="n">
        <v>49924.695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47660.72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50869.2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48172.49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44060.145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49105.094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</row>
    <row r="7">
      <c r="A7" s="5" t="n">
        <v>45585</v>
      </c>
      <c r="B7" s="6" t="n">
        <v>49200</v>
      </c>
      <c r="C7" s="7" t="n">
        <v>49843.79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48674.492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52132.676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49250.4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44662.54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49627.71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</row>
    <row r="8">
      <c r="A8" s="5" t="n">
        <v>45592</v>
      </c>
      <c r="B8" s="6" t="n">
        <v>49200</v>
      </c>
      <c r="C8" s="7" t="n">
        <v>49581.445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48665.457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53121.676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48954.85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44119.785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49551.305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</row>
    <row r="9">
      <c r="A9" s="5" t="n">
        <v>45599</v>
      </c>
      <c r="B9" s="6" t="n">
        <v>49200</v>
      </c>
      <c r="C9" s="7" t="n">
        <v>49301.81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48212.766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53772.3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47975.035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42718.836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48777.676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</row>
    <row r="10">
      <c r="A10" s="5" t="n">
        <v>45606</v>
      </c>
      <c r="B10" s="6" t="n">
        <v>49000</v>
      </c>
      <c r="C10" s="7" t="n">
        <v>49129.234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48008.004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53985.32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46887.188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42217.504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48300.215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</row>
    <row r="11">
      <c r="A11" s="5" t="n">
        <v>45613</v>
      </c>
      <c r="B11" s="6" t="n">
        <v>49000</v>
      </c>
      <c r="C11" s="7" t="n">
        <v>48859.477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48077.14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54196.004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46656.945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42266.71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48026.805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</row>
    <row r="12">
      <c r="A12" s="5" t="n">
        <v>45620</v>
      </c>
      <c r="B12" s="6" t="n">
        <v>49000</v>
      </c>
      <c r="C12" s="7" t="n">
        <v>48802.957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47846.77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53706.113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46834.37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42115.4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47649.605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</row>
    <row r="13">
      <c r="A13" s="5" t="n">
        <v>45627</v>
      </c>
      <c r="B13" s="6" t="n">
        <v>48500</v>
      </c>
      <c r="C13" s="7" t="n">
        <v>48870.258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47885.46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53165.668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46885.035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41977.09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47671.344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</row>
    <row r="14">
      <c r="A14" s="5" t="n">
        <v>45634</v>
      </c>
      <c r="B14" s="6" t="n">
        <v>48200</v>
      </c>
      <c r="C14" s="7" t="n">
        <v>48673.87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47617.89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53021.895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47251.34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41642.492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47503.805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</row>
    <row r="15">
      <c r="A15" s="5" t="n">
        <v>45641</v>
      </c>
      <c r="B15" s="6" t="n">
        <v>48200</v>
      </c>
      <c r="C15" s="7" t="n">
        <v>48421.887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46997.973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52923.348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47475.152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41627.902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47285.676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</row>
    <row r="16">
      <c r="A16" s="5" t="n">
        <v>45648</v>
      </c>
      <c r="B16" s="6" t="n">
        <v>48200</v>
      </c>
      <c r="C16" s="7" t="n">
        <v>47806.04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46929.195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53535.07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46827.94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41694.984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46880.418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</row>
    <row r="17">
      <c r="A17" s="5" t="n">
        <v>45655</v>
      </c>
      <c r="B17" s="6" t="n">
        <v>48100</v>
      </c>
      <c r="C17" s="7" t="n">
        <v>48117.188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46373.69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53007.11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46758.11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41497.367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46684.01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</row>
    <row r="18">
      <c r="A18" s="5" t="n">
        <v>45662</v>
      </c>
      <c r="B18" s="6" t="n">
        <v>48100</v>
      </c>
      <c r="C18" s="7" t="n">
        <v>47965.42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46505.09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53243.902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47393.918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42074.227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47205.61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</row>
    <row r="19">
      <c r="A19" s="5" t="n">
        <v>45669</v>
      </c>
      <c r="B19" s="6" t="n">
        <v>48200</v>
      </c>
      <c r="C19" s="7" t="n">
        <v>47998.21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46436.844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53245.59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47472.758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42526.12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47730.336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</row>
    <row r="20">
      <c r="A20" s="5" t="n">
        <v>45676</v>
      </c>
      <c r="B20" s="6" t="n">
        <v>48500</v>
      </c>
      <c r="C20" s="7" t="n">
        <v>48064.98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46480.92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52744.36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47722.71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42545.53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47993.41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</row>
    <row r="21">
      <c r="A21" s="5" t="n">
        <v>45683</v>
      </c>
      <c r="B21" s="6" t="n">
        <v>48400</v>
      </c>
      <c r="C21" s="7" t="n">
        <v>48271.66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46454.688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52813.945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47436.457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42065.89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48038.938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</row>
    <row r="22">
      <c r="A22" s="5" t="n">
        <v>45690</v>
      </c>
      <c r="B22" s="6" t="n">
        <v>48600</v>
      </c>
      <c r="C22" s="7" t="n">
        <v>48347.06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46972.43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52395.33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46643.25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41360.438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47320.54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</row>
    <row r="23">
      <c r="A23" s="5" t="n">
        <v>45697</v>
      </c>
      <c r="B23" s="6" t="n">
        <v>49000</v>
      </c>
      <c r="C23" s="7" t="n">
        <v>48531.977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48318.027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53237.668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46123.145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41575.76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47567.168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</row>
    <row r="24">
      <c r="A24" s="5" t="n">
        <v>45704</v>
      </c>
      <c r="B24" s="6" t="n">
        <v>49000</v>
      </c>
      <c r="C24" s="7" t="n">
        <v>49019.277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48637.625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53201.266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46752.62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42070.348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47585.797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</row>
    <row r="25">
      <c r="A25" s="5" t="n">
        <v>45711</v>
      </c>
      <c r="B25" s="6" t="n">
        <v>49000</v>
      </c>
      <c r="C25" s="7" t="n">
        <v>49268.664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48539.918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52988.04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46815.277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42268.65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47272.098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</row>
    <row r="26">
      <c r="A26" s="5" t="n">
        <v>45718</v>
      </c>
      <c r="B26" s="6" t="n">
        <v>49000</v>
      </c>
      <c r="C26" s="7" t="n">
        <v>49147.758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48321.598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53281.37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47408.043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42634.516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47221.215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</row>
    <row r="27">
      <c r="A27" s="5" t="n">
        <v>45725</v>
      </c>
      <c r="B27" s="6" t="n">
        <v>49000</v>
      </c>
      <c r="C27" s="7" t="n">
        <v>49257.062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48034.895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54642.973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48031.477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42834.273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47394.348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</row>
    <row r="28">
      <c r="A28" s="5" t="n">
        <v>45732</v>
      </c>
      <c r="B28" s="6" t="n">
        <v>49500</v>
      </c>
      <c r="C28" s="7" t="n">
        <v>49133.266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48660.773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55025.645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48343.105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42913.57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47592.656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</row>
    <row r="29">
      <c r="A29" s="5" t="n">
        <v>45739</v>
      </c>
      <c r="B29" s="6" t="n">
        <v>49600</v>
      </c>
      <c r="C29" s="7" t="n">
        <v>49458.613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49530.418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55320.625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48769.96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43100.895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47428.055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</row>
    <row r="30">
      <c r="A30" s="5" t="n">
        <v>45746</v>
      </c>
      <c r="B30" s="6" t="n">
        <v>51500</v>
      </c>
      <c r="C30" s="7" t="n">
        <v>49712.91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50656.03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55898.258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48881.8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42945.926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47959.06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</row>
    <row r="31">
      <c r="A31" s="5" t="n">
        <v>45753</v>
      </c>
      <c r="B31" s="6" t="n">
        <v>52000</v>
      </c>
      <c r="C31" s="7" t="n">
        <v>50722.176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52058.883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56770.65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49131.508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43736.598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49083.6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</row>
    <row r="32">
      <c r="A32" s="5" t="n">
        <v>45760</v>
      </c>
      <c r="B32" s="6" t="n">
        <v>51500</v>
      </c>
      <c r="C32" s="7" t="n">
        <v>51858.65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52419.965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57666.48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49203.344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44046.285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49722.32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</row>
    <row r="33">
      <c r="A33" s="5" t="n">
        <v>45767</v>
      </c>
      <c r="B33" s="6" t="n">
        <v>51500</v>
      </c>
      <c r="C33" s="7" t="n">
        <v>52020.78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51937.566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57698.42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49301.043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44411.617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49861.223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</row>
    <row r="34">
      <c r="A34" s="5" t="n">
        <v>45774</v>
      </c>
      <c r="B34" s="6" t="n">
        <v>52500</v>
      </c>
      <c r="C34" s="7" t="n">
        <v>51620.45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51324.812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57278.395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49240.293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44808.477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49778.785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</row>
    <row r="35">
      <c r="A35" s="5" t="n">
        <v>45781</v>
      </c>
      <c r="B35" s="6" t="n">
        <v>53000</v>
      </c>
      <c r="C35" s="7" t="n">
        <v>51979.27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51989.77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56922.96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49122.64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45179.51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49693.63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</row>
    <row r="36">
      <c r="A36" s="5" t="n">
        <v>45788</v>
      </c>
      <c r="B36" s="6" t="n">
        <v>53000</v>
      </c>
      <c r="C36" s="7" t="n">
        <v>52758.62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52869.555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56726.26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49405.574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45601.207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49460.98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</row>
    <row r="37">
      <c r="A37" s="5" t="n">
        <v>45795</v>
      </c>
      <c r="B37" s="6" t="n">
        <v>53300</v>
      </c>
      <c r="C37" s="7" t="n">
        <v>53317.86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52435.65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56749.62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49464.227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45449.39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49302.79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</row>
    <row r="38">
      <c r="A38" s="5" t="n">
        <v>45802</v>
      </c>
      <c r="B38" s="6" t="n">
        <v>52800</v>
      </c>
      <c r="C38" s="7" t="n">
        <v>53525.04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51941.01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56368.812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48801.5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44817.973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49126.07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</row>
    <row r="39">
      <c r="A39" s="5" t="n">
        <v>45809</v>
      </c>
      <c r="B39" s="6" t="n">
        <v>52000</v>
      </c>
      <c r="C39" s="7" t="n">
        <v>53262.11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51887.723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55843.68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48146.746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44434.402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48694.918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</row>
    <row r="40">
      <c r="A40" s="5" t="n">
        <v>45816</v>
      </c>
      <c r="B40" s="6" t="n">
        <v>52000</v>
      </c>
      <c r="C40" s="7" t="n">
        <v>52559.867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51355.297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53784.11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47559.5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43511.414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48093.89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</row>
    <row r="41">
      <c r="A41" s="5" t="n">
        <v>45823</v>
      </c>
      <c r="B41" s="6" t="n">
        <v>52000</v>
      </c>
      <c r="C41" s="7" t="n">
        <v>52403.047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51196.05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52184.383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46943.848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43062.152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47606.812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</row>
    <row r="42">
      <c r="A42" s="5" t="n">
        <v>45830</v>
      </c>
      <c r="B42" s="6" t="n">
        <v>52000</v>
      </c>
      <c r="C42" s="7" t="n">
        <v>52037.664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51061.977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50557.652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46131.074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42424.543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46986.355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</row>
    <row r="43">
      <c r="A43" s="5" t="n">
        <v>45837</v>
      </c>
      <c r="B43" s="6" t="n">
        <v>51900</v>
      </c>
      <c r="C43" s="7" t="n">
        <v>52050.44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50645.79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49257.938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45153.812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41859.812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46163.504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</row>
    <row r="44">
      <c r="A44" s="5" t="n">
        <v>45844</v>
      </c>
      <c r="B44" s="6" t="n">
        <v>51600</v>
      </c>
      <c r="C44" s="7" t="n">
        <v>52018.805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50627.27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48690.02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44374.855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41492.37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45817.887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</row>
    <row r="45">
      <c r="A45" s="5" t="n">
        <v>45851</v>
      </c>
      <c r="B45" s="6" t="n">
        <v>51000</v>
      </c>
      <c r="C45" s="7" t="n">
        <v>51657.63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50329.254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48281.68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44173.016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41146.89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45431.637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</row>
    <row r="46">
      <c r="A46" s="5" t="n">
        <v>45858</v>
      </c>
      <c r="B46" s="6" t="n">
        <v>50500</v>
      </c>
      <c r="C46" s="7" t="n">
        <v>51059.438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49377.81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48193.16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44289.28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40752.66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45237.19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</row>
    <row r="47">
      <c r="A47" s="5" t="n">
        <v>45865</v>
      </c>
      <c r="B47" s="6" t="n">
        <v>50000</v>
      </c>
      <c r="C47" s="7" t="n">
        <v>50178.637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49073.895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47630.367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44440.688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40413.28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45169.812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</row>
    <row r="48">
      <c r="A48" s="5" t="n">
        <v>45872</v>
      </c>
      <c r="B48" s="6" t="n">
        <v>50000</v>
      </c>
      <c r="C48" s="7" t="n">
        <v>49654.863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48623.26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48356.855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44416.86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39815.555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45278.742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</row>
    <row r="49">
      <c r="A49" s="5" t="n">
        <v>45879</v>
      </c>
      <c r="B49" s="6" t="n">
        <v>50300</v>
      </c>
      <c r="C49" s="7" t="n">
        <v>50004.312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49175.17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49626.445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44569.637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40243.02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45839.715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</row>
    <row r="50">
      <c r="A50" s="5" t="n">
        <v>45886</v>
      </c>
      <c r="B50" s="6" t="n">
        <v>50500</v>
      </c>
      <c r="C50" s="7" t="n">
        <v>50159.113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50576.336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49236.984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45069.844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40776.855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46282.566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</row>
    <row r="51">
      <c r="A51" s="5" t="n">
        <v>45893</v>
      </c>
      <c r="B51" s="6" t="n">
        <v>50500</v>
      </c>
      <c r="C51" s="7" t="n">
        <v>50321.848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50308.426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48498.496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45989.938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40949.047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46087.957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</row>
    <row r="52">
      <c r="A52" s="5" t="n">
        <v>45900</v>
      </c>
      <c r="B52" s="6" t="n">
        <v>50700</v>
      </c>
      <c r="C52" s="7" t="n">
        <v>50437.652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49977.18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47889.375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45826.92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40434.594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45029.684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</row>
    <row r="53">
      <c r="A53" s="5" t="n">
        <v>45907</v>
      </c>
      <c r="B53" s="6" t="n">
        <v>50800</v>
      </c>
      <c r="C53" s="7" t="n">
        <v>51029.484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49726.99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47711.727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46009.46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40751.184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44945.562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</row>
    <row r="54">
      <c r="A54" s="5" t="n">
        <v>45914</v>
      </c>
      <c r="B54" s="6" t="n">
        <v>50500</v>
      </c>
      <c r="C54" s="7" t="n">
        <v>51312.992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49527.77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47404.344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45357.99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40330.613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45145.633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</row>
    <row r="55">
      <c r="A55" s="5" t="n">
        <v>45921</v>
      </c>
      <c r="B55" s="6" t="n">
        <v>50000</v>
      </c>
      <c r="C55" s="7" t="n">
        <v>51200.02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49423.844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47305.26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45156.86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39609.82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45608.836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</row>
    <row r="56">
      <c r="A56" s="5" t="n">
        <v>45928</v>
      </c>
      <c r="B56" s="6" t="n">
        <v>50000</v>
      </c>
      <c r="C56" s="7" t="n">
        <v>50374.81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49228.918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47287.984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44705.68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39122.668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45769.586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</row>
    <row r="57">
      <c r="A57" s="5" t="n">
        <v>45935</v>
      </c>
      <c r="B57" s="6" t="n">
        <v>50000</v>
      </c>
      <c r="C57" s="7" t="n">
        <v>49736.785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48941.844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47561.87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44490.93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39077.89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45523.098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</row>
    <row r="58">
      <c r="A58" s="5" t="n">
        <v>45942</v>
      </c>
      <c r="B58" s="6" t="n">
        <v>49800</v>
      </c>
      <c r="C58" s="7" t="n">
        <v>49454.637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48457.375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47500.848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43672.066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39161.5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44928.793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</row>
    <row r="59">
      <c r="A59" s="5" t="n">
        <v>45949</v>
      </c>
      <c r="B59" s="6" t="n">
        <v>49000</v>
      </c>
      <c r="C59" s="7" t="n">
        <v>49546.33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48283.938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47250.945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43146.98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39151.12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44406.242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</row>
    <row r="60">
      <c r="A60" s="5" t="n">
        <v>45956</v>
      </c>
      <c r="B60" s="6" t="n">
        <v>49000</v>
      </c>
      <c r="C60" s="7" t="n">
        <v>48993.367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47870.562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47297.133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42719.035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38506.88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43501.22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</row>
    <row r="61">
      <c r="A61" s="5" t="n">
        <v>45963</v>
      </c>
      <c r="B61" s="6" t="n">
        <v>49000</v>
      </c>
      <c r="C61" s="7" t="n">
        <v>48729.164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47824.43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47591.496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42435.945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37845.145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42841.25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</row>
    <row r="62">
      <c r="A62" s="5" t="n">
        <v>45970</v>
      </c>
      <c r="B62" s="6" t="n">
        <v>49600</v>
      </c>
      <c r="C62" s="7" t="n">
        <v>48748.938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47130.09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47855.953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41549.258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37542.02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42572.07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</row>
    <row r="63">
      <c r="A63" s="5" t="n">
        <v>45977</v>
      </c>
      <c r="B63" s="6" t="n">
        <v>49600</v>
      </c>
      <c r="C63" s="7" t="n">
        <v>49278.215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47380.344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47668.84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41108.582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37631.375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42363.18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</row>
    <row r="64">
      <c r="A64" s="5" t="n">
        <v>45984</v>
      </c>
      <c r="B64" s="6" t="n">
        <v>49000</v>
      </c>
      <c r="C64" s="7" t="n">
        <v>49638.86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46977.047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47338.93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43026.977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38322.13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42997.777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</row>
    <row r="65">
      <c r="A65" s="5" t="n">
        <v>45991</v>
      </c>
      <c r="B65" s="6" t="n">
        <v>48600</v>
      </c>
      <c r="C65" s="7" t="n">
        <v>48994.695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46403.098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47287.246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43673.03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38535.906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43335.715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</row>
    <row r="66">
      <c r="A66" s="5" t="n">
        <v>45998</v>
      </c>
      <c r="B66" s="6" t="n">
        <v>46700</v>
      </c>
      <c r="C66" s="7" t="n">
        <v>48457.09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45968.184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47639.383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43599.86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38730.37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43913.242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</row>
    <row r="67">
      <c r="A67" s="5" t="n">
        <v>46005</v>
      </c>
      <c r="B67" s="6" t="n">
        <v>46800</v>
      </c>
      <c r="C67" s="7" t="n">
        <v>46996.94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45626.598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47641.816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43378.094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39031.84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44573.69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</row>
    <row r="68">
      <c r="A68" s="5" t="n">
        <v>46012</v>
      </c>
      <c r="B68" s="6" t="n">
        <v>46800</v>
      </c>
      <c r="C68" s="7" t="n">
        <v>46588.508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45823.227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47506.957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43850.66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39449.27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44459.434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</row>
    <row r="69">
      <c r="A69" s="5" t="n">
        <v>46019</v>
      </c>
      <c r="B69" s="6" t="n">
        <v>48000</v>
      </c>
      <c r="C69" s="7" t="n">
        <v>46756.113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46804.29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48632.38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44596.55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39315.79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44950.344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</row>
    <row r="70">
      <c r="A70" s="5" t="n">
        <v>46026</v>
      </c>
      <c r="B70" s="6" t="n">
        <v>50400</v>
      </c>
      <c r="C70" s="7" t="n">
        <v>47981.734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48778.06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51410.207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45217.598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39611.64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45698.215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</row>
    <row r="71">
      <c r="A71" s="5" t="n">
        <v>46033</v>
      </c>
      <c r="B71" s="6" t="n">
        <v>51400</v>
      </c>
      <c r="C71" s="7" t="n">
        <v>50277.387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51220.723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53044.086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47799.66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42602.95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48276.055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</row>
    <row r="72">
      <c r="A72" s="5" t="n">
        <v>46040</v>
      </c>
      <c r="B72" s="6" t="n">
        <v>52000</v>
      </c>
      <c r="C72" s="7" t="n">
        <v>51750.31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51121.254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54817.18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49225.406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43958.81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48226.113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</row>
    <row r="73">
      <c r="A73" s="5" t="n">
        <v>46047</v>
      </c>
      <c r="B73" s="6" t="n">
        <v>53000</v>
      </c>
      <c r="C73" s="7" t="n">
        <v>52613.453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52084.785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56888.375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49377.637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43817.75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47856.777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</row>
    <row r="74">
      <c r="A74" s="5" t="n">
        <v>46054</v>
      </c>
      <c r="B74" s="6" t="n">
        <v>53400</v>
      </c>
      <c r="C74" s="7" t="n">
        <v>53380.145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52707.516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58065.492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50127.67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43783.8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48659.625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</row>
    <row r="75">
      <c r="A75" s="5" t="n">
        <v>46061</v>
      </c>
      <c r="B75" s="6" t="n">
        <v>55100</v>
      </c>
      <c r="C75" s="7" t="n">
        <v>53866.66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53451.277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59202.09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50930.07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44291.57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49139.633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</row>
    <row r="76">
      <c r="A76" s="5" t="n">
        <v>46068</v>
      </c>
      <c r="B76" s="6" t="n">
        <v>55200</v>
      </c>
      <c r="C76" s="7" t="n">
        <v>55057.68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COUNTIF(G76:G85,1)&amp;"/"&amp;COUNT(G76:G85)</f>
        <v/>
      </c>
      <c r="I76" s="6" t="n">
        <v>53650</v>
      </c>
      <c r="J76" s="7" t="n">
        <v>53914.816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COUNTIF(N76:N85,1)&amp;"/"&amp;COUNT(N76:N85)</f>
        <v/>
      </c>
      <c r="P76" s="6" t="n">
        <v>58900</v>
      </c>
      <c r="Q76" s="7" t="n">
        <v>60618.35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COUNTIF(U76:U85,1)&amp;"/"&amp;COUNT(U76:U85)</f>
        <v/>
      </c>
      <c r="W76" s="6" t="n">
        <v>50000</v>
      </c>
      <c r="X76" s="7" t="n">
        <v>51088.78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COUNTIF(AB76:AB85,1)&amp;"/"&amp;COUNT(AB76:AB85)</f>
        <v/>
      </c>
      <c r="AD76" s="6" t="n">
        <v>45266.67</v>
      </c>
      <c r="AE76" s="7" t="n">
        <v>44861.727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COUNTIF(AI76:AI85,1)&amp;"/"&amp;COUNT(AI76:AI85)</f>
        <v/>
      </c>
      <c r="AK76" s="6" t="n">
        <v>49800</v>
      </c>
      <c r="AL76" s="7" t="n">
        <v>48723.02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COUNTIF(AP76:AP85,1)&amp;"/"&amp;COUNT(AP76:AP85)</f>
        <v/>
      </c>
    </row>
    <row r="77">
      <c r="A77" s="5" t="n">
        <v>46075</v>
      </c>
      <c r="B77" s="6" t="n">
        <v>54600</v>
      </c>
      <c r="C77" s="7" t="n">
        <v>55149.504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53628.266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60512.746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51038.176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45405.04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48984.2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</row>
    <row r="78">
      <c r="A78" s="5" t="n">
        <v>46082</v>
      </c>
      <c r="B78" s="6" t="n">
        <v>54000</v>
      </c>
      <c r="C78" s="7" t="n">
        <v>54950.938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53665.094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59978.2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50633.414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45303.46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48973.86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</row>
    <row r="79">
      <c r="A79" s="5" t="n">
        <v>46089</v>
      </c>
      <c r="B79" s="6" t="n">
        <v>54400</v>
      </c>
      <c r="C79" s="7" t="n">
        <v>54346.824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53871.332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59794.79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50290.95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44367.19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49123.508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</row>
    <row r="80">
      <c r="A80" s="5" t="n">
        <v>46096</v>
      </c>
      <c r="B80" s="6" t="n">
        <v>55600</v>
      </c>
      <c r="C80" s="7" t="n">
        <v>54208.566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54823.316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60721.914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50777.785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45735.832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49761.336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</row>
    <row r="81">
      <c r="A81" s="5" t="n">
        <v>46103</v>
      </c>
      <c r="B81" s="6" t="n">
        <v>56900</v>
      </c>
      <c r="C81" s="7" t="n">
        <v>55341.508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56017.184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61140.258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52081.61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47522.246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50472.242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</row>
    <row r="82">
      <c r="A82" s="5" t="n">
        <v>46110</v>
      </c>
      <c r="B82" s="6" t="n">
        <v>58200</v>
      </c>
      <c r="C82" s="7" t="n">
        <v>56188.61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56771.76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61244.49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52508.035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47519.164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50806.152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</row>
    <row r="83">
      <c r="A83" s="5" t="n">
        <v>46117</v>
      </c>
      <c r="B83" s="6" t="n">
        <v>59100</v>
      </c>
      <c r="C83" s="7" t="n">
        <v>57581.19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57809.016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60821.812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52437.46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46964.215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50819.08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</row>
    <row r="84">
      <c r="A84" s="5" t="n">
        <v>46124</v>
      </c>
      <c r="B84" s="6" t="n">
        <v>59500</v>
      </c>
      <c r="C84" s="7" t="n">
        <v>58499.66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59788.7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61551.906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53024.434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48260.324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51399.76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</row>
    <row r="85">
      <c r="A85" s="5" t="n">
        <v>46131</v>
      </c>
      <c r="B85" s="6" t="n">
        <v>59500</v>
      </c>
      <c r="C85" s="7" t="n">
        <v>59219.203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59706.816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62538.68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54314.223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50004.027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52211.508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</row>
  </sheetData>
  <mergeCells count="49">
    <mergeCell ref="AC40:AC51"/>
    <mergeCell ref="I1:O1"/>
    <mergeCell ref="O52:O63"/>
    <mergeCell ref="H16:H27"/>
    <mergeCell ref="AJ64:AJ75"/>
    <mergeCell ref="V16:V27"/>
    <mergeCell ref="H28:H39"/>
    <mergeCell ref="AC52:AC63"/>
    <mergeCell ref="AJ76:AJ85"/>
    <mergeCell ref="H76:H85"/>
    <mergeCell ref="AQ28:AQ39"/>
    <mergeCell ref="AQ40:AQ51"/>
    <mergeCell ref="AJ4:AJ15"/>
    <mergeCell ref="AJ40:AJ51"/>
    <mergeCell ref="V52:V63"/>
    <mergeCell ref="H4:H15"/>
    <mergeCell ref="AJ16:AJ27"/>
    <mergeCell ref="AJ52:AJ63"/>
    <mergeCell ref="AC16:AC27"/>
    <mergeCell ref="V64:V75"/>
    <mergeCell ref="O28:O39"/>
    <mergeCell ref="V76:V85"/>
    <mergeCell ref="AQ76:AQ85"/>
    <mergeCell ref="V4:V15"/>
    <mergeCell ref="P1:V1"/>
    <mergeCell ref="AC28:AC39"/>
    <mergeCell ref="A1:A3"/>
    <mergeCell ref="AQ16:AQ27"/>
    <mergeCell ref="H64:H75"/>
    <mergeCell ref="AC76:AC85"/>
    <mergeCell ref="V28:V39"/>
    <mergeCell ref="AD1:AJ1"/>
    <mergeCell ref="H40:H51"/>
    <mergeCell ref="W1:AC1"/>
    <mergeCell ref="V40:V51"/>
    <mergeCell ref="O4:O15"/>
    <mergeCell ref="H52:H63"/>
    <mergeCell ref="AQ52:AQ63"/>
    <mergeCell ref="B1:H1"/>
    <mergeCell ref="AC64:AC75"/>
    <mergeCell ref="AC4:AC15"/>
    <mergeCell ref="O16:O27"/>
    <mergeCell ref="AQ4:AQ15"/>
    <mergeCell ref="AQ64:AQ75"/>
    <mergeCell ref="O64:O75"/>
    <mergeCell ref="AJ28:AJ39"/>
    <mergeCell ref="O40:O51"/>
    <mergeCell ref="AK1:AQ1"/>
    <mergeCell ref="O76:O8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Q8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</row>
    <row r="3">
      <c r="D3" s="4">
        <f>AVERAGE(D4:D85)</f>
        <v/>
      </c>
      <c r="E3" s="4">
        <f>AVERAGE(E4:E85)</f>
        <v/>
      </c>
      <c r="F3" s="4">
        <f>AVERAGE(F4:F85)</f>
        <v/>
      </c>
      <c r="G3" s="4">
        <f>AVERAGE(G4:G85)</f>
        <v/>
      </c>
      <c r="K3" s="4">
        <f>AVERAGE(K4:K85)</f>
        <v/>
      </c>
      <c r="L3" s="4">
        <f>AVERAGE(L4:L85)</f>
        <v/>
      </c>
      <c r="M3" s="4">
        <f>AVERAGE(M4:M85)</f>
        <v/>
      </c>
      <c r="N3" s="4">
        <f>AVERAGE(N4:N85)</f>
        <v/>
      </c>
      <c r="R3" s="4">
        <f>AVERAGE(R4:R85)</f>
        <v/>
      </c>
      <c r="S3" s="4">
        <f>AVERAGE(S4:S85)</f>
        <v/>
      </c>
      <c r="T3" s="4">
        <f>AVERAGE(T4:T85)</f>
        <v/>
      </c>
      <c r="U3" s="4">
        <f>AVERAGE(U4:U85)</f>
        <v/>
      </c>
      <c r="Y3" s="4">
        <f>AVERAGE(Y4:Y85)</f>
        <v/>
      </c>
      <c r="Z3" s="4">
        <f>AVERAGE(Z4:Z85)</f>
        <v/>
      </c>
      <c r="AA3" s="4">
        <f>AVERAGE(AA4:AA85)</f>
        <v/>
      </c>
      <c r="AB3" s="4">
        <f>AVERAGE(AB4:AB85)</f>
        <v/>
      </c>
      <c r="AF3" s="4">
        <f>AVERAGE(AF4:AF85)</f>
        <v/>
      </c>
      <c r="AG3" s="4">
        <f>AVERAGE(AG4:AG85)</f>
        <v/>
      </c>
      <c r="AH3" s="4">
        <f>AVERAGE(AH4:AH85)</f>
        <v/>
      </c>
      <c r="AI3" s="4">
        <f>AVERAGE(AI4:AI85)</f>
        <v/>
      </c>
      <c r="AM3" s="4">
        <f>AVERAGE(AM4:AM85)</f>
        <v/>
      </c>
      <c r="AN3" s="4">
        <f>AVERAGE(AN4:AN85)</f>
        <v/>
      </c>
      <c r="AO3" s="4">
        <f>AVERAGE(AO4:AO85)</f>
        <v/>
      </c>
      <c r="AP3" s="4">
        <f>AVERAGE(AP4:AP85)</f>
        <v/>
      </c>
    </row>
    <row r="4">
      <c r="A4" s="5" t="n">
        <v>45564</v>
      </c>
      <c r="B4" s="6" t="n">
        <v>49000</v>
      </c>
      <c r="C4" s="7" t="n">
        <v>50266.72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46867.98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50407.598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45785.375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41788.504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48298.086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</row>
    <row r="5">
      <c r="A5" s="5" t="n">
        <v>45571</v>
      </c>
      <c r="B5" s="6" t="n">
        <v>49000</v>
      </c>
      <c r="C5" s="7" t="n">
        <v>49882.316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46901.95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50480.52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46034.164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42767.004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48875.25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</row>
    <row r="6">
      <c r="A6" s="5" t="n">
        <v>45578</v>
      </c>
      <c r="B6" s="6" t="n">
        <v>49200</v>
      </c>
      <c r="C6" s="7" t="n">
        <v>50120.34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47784.812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51492.848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47223.42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43751.48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50129.105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</row>
    <row r="7">
      <c r="A7" s="5" t="n">
        <v>45585</v>
      </c>
      <c r="B7" s="6" t="n">
        <v>49200</v>
      </c>
      <c r="C7" s="7" t="n">
        <v>50411.7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48748.81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52933.445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48631.746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44237.37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50609.715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</row>
    <row r="8">
      <c r="A8" s="5" t="n">
        <v>45592</v>
      </c>
      <c r="B8" s="6" t="n">
        <v>49200</v>
      </c>
      <c r="C8" s="7" t="n">
        <v>50564.797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48701.47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54122.797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49019.363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43912.914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51030.5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</row>
    <row r="9">
      <c r="A9" s="5" t="n">
        <v>45599</v>
      </c>
      <c r="B9" s="6" t="n">
        <v>49200</v>
      </c>
      <c r="C9" s="7" t="n">
        <v>50313.523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48329.73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54553.4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48818.605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43043.38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50844.855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</row>
    <row r="10">
      <c r="A10" s="5" t="n">
        <v>45606</v>
      </c>
      <c r="B10" s="6" t="n">
        <v>49000</v>
      </c>
      <c r="C10" s="7" t="n">
        <v>50087.285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47972.26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54655.97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47981.617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42874.465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50212.15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</row>
    <row r="11">
      <c r="A11" s="5" t="n">
        <v>45613</v>
      </c>
      <c r="B11" s="6" t="n">
        <v>49000</v>
      </c>
      <c r="C11" s="7" t="n">
        <v>49804.133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48194.492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54429.4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47516.62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42748.27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49609.668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</row>
    <row r="12">
      <c r="A12" s="5" t="n">
        <v>45620</v>
      </c>
      <c r="B12" s="6" t="n">
        <v>49000</v>
      </c>
      <c r="C12" s="7" t="n">
        <v>49325.062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48027.043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54050.336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47675.1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42967.58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49810.484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</row>
    <row r="13">
      <c r="A13" s="5" t="n">
        <v>45627</v>
      </c>
      <c r="B13" s="6" t="n">
        <v>48500</v>
      </c>
      <c r="C13" s="7" t="n">
        <v>48920.152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48037.8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53615.555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48057.156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43127.508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49628.344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</row>
    <row r="14">
      <c r="A14" s="5" t="n">
        <v>45634</v>
      </c>
      <c r="B14" s="6" t="n">
        <v>48200</v>
      </c>
      <c r="C14" s="7" t="n">
        <v>48320.22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47805.434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53081.523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47803.434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42839.203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49131.9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</row>
    <row r="15">
      <c r="A15" s="5" t="n">
        <v>45641</v>
      </c>
      <c r="B15" s="6" t="n">
        <v>48200</v>
      </c>
      <c r="C15" s="7" t="n">
        <v>47885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47248.82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52448.535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47449.527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42958.13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48529.844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</row>
    <row r="16">
      <c r="A16" s="5" t="n">
        <v>45648</v>
      </c>
      <c r="B16" s="6" t="n">
        <v>48200</v>
      </c>
      <c r="C16" s="7" t="n">
        <v>48319.465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46771.137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52693.46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46670.094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42019.58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47797.453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</row>
    <row r="17">
      <c r="A17" s="5" t="n">
        <v>45655</v>
      </c>
      <c r="B17" s="6" t="n">
        <v>48100</v>
      </c>
      <c r="C17" s="7" t="n">
        <v>48307.367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46176.523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51906.273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46989.43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41886.176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47325.855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</row>
    <row r="18">
      <c r="A18" s="5" t="n">
        <v>45662</v>
      </c>
      <c r="B18" s="6" t="n">
        <v>48100</v>
      </c>
      <c r="C18" s="7" t="n">
        <v>48285.203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46513.68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51609.977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47521.465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42166.76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47009.242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</row>
    <row r="19">
      <c r="A19" s="5" t="n">
        <v>45669</v>
      </c>
      <c r="B19" s="6" t="n">
        <v>48200</v>
      </c>
      <c r="C19" s="7" t="n">
        <v>48285.152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46585.23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51537.902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48069.254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41983.484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47469.723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</row>
    <row r="20">
      <c r="A20" s="5" t="n">
        <v>45676</v>
      </c>
      <c r="B20" s="6" t="n">
        <v>48500</v>
      </c>
      <c r="C20" s="7" t="n">
        <v>48467.707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46499.695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51612.773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48193.723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41649.906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47557.92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</row>
    <row r="21">
      <c r="A21" s="5" t="n">
        <v>45683</v>
      </c>
      <c r="B21" s="6" t="n">
        <v>48400</v>
      </c>
      <c r="C21" s="7" t="n">
        <v>48705.844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46397.652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51830.25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47406.92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40846.668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46925.953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</row>
    <row r="22">
      <c r="A22" s="5" t="n">
        <v>45690</v>
      </c>
      <c r="B22" s="6" t="n">
        <v>48600</v>
      </c>
      <c r="C22" s="7" t="n">
        <v>48774.156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47045.36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51921.004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46878.496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40287.535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46192.934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</row>
    <row r="23">
      <c r="A23" s="5" t="n">
        <v>45697</v>
      </c>
      <c r="B23" s="6" t="n">
        <v>49000</v>
      </c>
      <c r="C23" s="7" t="n">
        <v>48896.18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48363.71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52471.797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46669.79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40057.773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46668.145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</row>
    <row r="24">
      <c r="A24" s="5" t="n">
        <v>45704</v>
      </c>
      <c r="B24" s="6" t="n">
        <v>49000</v>
      </c>
      <c r="C24" s="7" t="n">
        <v>49017.61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48703.426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52948.703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46779.316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40247.426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47584.223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</row>
    <row r="25">
      <c r="A25" s="5" t="n">
        <v>45711</v>
      </c>
      <c r="B25" s="6" t="n">
        <v>49000</v>
      </c>
      <c r="C25" s="7" t="n">
        <v>49111.793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48475.066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52714.01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46896.96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40371.656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48110.77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</row>
    <row r="26">
      <c r="A26" s="5" t="n">
        <v>45718</v>
      </c>
      <c r="B26" s="6" t="n">
        <v>49000</v>
      </c>
      <c r="C26" s="7" t="n">
        <v>49234.45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48322.098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52831.71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47378.633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40814.574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48110.164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</row>
    <row r="27">
      <c r="A27" s="5" t="n">
        <v>45725</v>
      </c>
      <c r="B27" s="6" t="n">
        <v>49000</v>
      </c>
      <c r="C27" s="7" t="n">
        <v>49180.082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48124.098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53744.51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47972.17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41606.01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48222.555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</row>
    <row r="28">
      <c r="A28" s="5" t="n">
        <v>45732</v>
      </c>
      <c r="B28" s="6" t="n">
        <v>49500</v>
      </c>
      <c r="C28" s="7" t="n">
        <v>48998.78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48783.836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53394.367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47919.707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42351.145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46983.21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</row>
    <row r="29">
      <c r="A29" s="5" t="n">
        <v>45739</v>
      </c>
      <c r="B29" s="6" t="n">
        <v>49600</v>
      </c>
      <c r="C29" s="7" t="n">
        <v>49195.94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49745.258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53921.64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48324.23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42519.113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47278.19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</row>
    <row r="30">
      <c r="A30" s="5" t="n">
        <v>45746</v>
      </c>
      <c r="B30" s="6" t="n">
        <v>51500</v>
      </c>
      <c r="C30" s="7" t="n">
        <v>49631.46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50801.504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54765.195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48575.637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43064.277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47796.598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</row>
    <row r="31">
      <c r="A31" s="5" t="n">
        <v>45753</v>
      </c>
      <c r="B31" s="6" t="n">
        <v>52000</v>
      </c>
      <c r="C31" s="7" t="n">
        <v>51067.004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52350.145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55720.93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48562.08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43720.21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48507.137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</row>
    <row r="32">
      <c r="A32" s="5" t="n">
        <v>45760</v>
      </c>
      <c r="B32" s="6" t="n">
        <v>51500</v>
      </c>
      <c r="C32" s="7" t="n">
        <v>52627.758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52659.883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56443.35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48617.48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44565.01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49128.168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</row>
    <row r="33">
      <c r="A33" s="5" t="n">
        <v>45767</v>
      </c>
      <c r="B33" s="6" t="n">
        <v>51500</v>
      </c>
      <c r="C33" s="7" t="n">
        <v>53443.45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51947.97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56710.68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48607.664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44587.637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49425.176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</row>
    <row r="34">
      <c r="A34" s="5" t="n">
        <v>45774</v>
      </c>
      <c r="B34" s="6" t="n">
        <v>52500</v>
      </c>
      <c r="C34" s="7" t="n">
        <v>53623.52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51369.285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56817.02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48530.867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44757.78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49331.48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</row>
    <row r="35">
      <c r="A35" s="5" t="n">
        <v>45781</v>
      </c>
      <c r="B35" s="6" t="n">
        <v>53000</v>
      </c>
      <c r="C35" s="7" t="n">
        <v>53733.152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52135.074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56610.816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48409.75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44727.41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49258.332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</row>
    <row r="36">
      <c r="A36" s="5" t="n">
        <v>45788</v>
      </c>
      <c r="B36" s="6" t="n">
        <v>53000</v>
      </c>
      <c r="C36" s="7" t="n">
        <v>53891.883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53002.457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56431.82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48360.44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44714.61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48949.906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</row>
    <row r="37">
      <c r="A37" s="5" t="n">
        <v>45795</v>
      </c>
      <c r="B37" s="6" t="n">
        <v>53300</v>
      </c>
      <c r="C37" s="7" t="n">
        <v>54075.004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52688.223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55988.18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48295.184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44280.883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48551.305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</row>
    <row r="38">
      <c r="A38" s="5" t="n">
        <v>45802</v>
      </c>
      <c r="B38" s="6" t="n">
        <v>52800</v>
      </c>
      <c r="C38" s="7" t="n">
        <v>53899.848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52032.31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55311.383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47755.63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44029.156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48270.133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</row>
    <row r="39">
      <c r="A39" s="5" t="n">
        <v>45809</v>
      </c>
      <c r="B39" s="6" t="n">
        <v>52000</v>
      </c>
      <c r="C39" s="7" t="n">
        <v>53372.76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51854.094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54715.062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47256.887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43756.477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47773.066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</row>
    <row r="40">
      <c r="A40" s="5" t="n">
        <v>45816</v>
      </c>
      <c r="B40" s="6" t="n">
        <v>52000</v>
      </c>
      <c r="C40" s="7" t="n">
        <v>52070.008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51328.754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55222.06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47348.582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43067.266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48030.637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</row>
    <row r="41">
      <c r="A41" s="5" t="n">
        <v>45823</v>
      </c>
      <c r="B41" s="6" t="n">
        <v>52000</v>
      </c>
      <c r="C41" s="7" t="n">
        <v>52446.965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51207.31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54381.645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46690.133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42969.93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47604.453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</row>
    <row r="42">
      <c r="A42" s="5" t="n">
        <v>45830</v>
      </c>
      <c r="B42" s="6" t="n">
        <v>52000</v>
      </c>
      <c r="C42" s="7" t="n">
        <v>51938.164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51327.582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52774.258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46142.99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42802.12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47464.473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</row>
    <row r="43">
      <c r="A43" s="5" t="n">
        <v>45837</v>
      </c>
      <c r="B43" s="6" t="n">
        <v>51900</v>
      </c>
      <c r="C43" s="7" t="n">
        <v>51257.242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51077.754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51736.938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45541.766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42682.555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47248.746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</row>
    <row r="44">
      <c r="A44" s="5" t="n">
        <v>45844</v>
      </c>
      <c r="B44" s="6" t="n">
        <v>51600</v>
      </c>
      <c r="C44" s="7" t="n">
        <v>50965.676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50766.15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51016.44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44984.043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42272.03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47045.145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</row>
    <row r="45">
      <c r="A45" s="5" t="n">
        <v>45851</v>
      </c>
      <c r="B45" s="6" t="n">
        <v>51000</v>
      </c>
      <c r="C45" s="7" t="n">
        <v>50741.59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50174.055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50076.875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44275.55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41801.312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46523.168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</row>
    <row r="46">
      <c r="A46" s="5" t="n">
        <v>45858</v>
      </c>
      <c r="B46" s="6" t="n">
        <v>50500</v>
      </c>
      <c r="C46" s="7" t="n">
        <v>50405.82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49012.055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49185.887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43385.46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41192.89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46015.484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</row>
    <row r="47">
      <c r="A47" s="5" t="n">
        <v>45865</v>
      </c>
      <c r="B47" s="6" t="n">
        <v>50000</v>
      </c>
      <c r="C47" s="7" t="n">
        <v>50372.816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48707.96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48696.918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43007.348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40598.125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45872.562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</row>
    <row r="48">
      <c r="A48" s="5" t="n">
        <v>45872</v>
      </c>
      <c r="B48" s="6" t="n">
        <v>50000</v>
      </c>
      <c r="C48" s="7" t="n">
        <v>50127.926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48453.426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49395.78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42840.156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40210.25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45663.004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</row>
    <row r="49">
      <c r="A49" s="5" t="n">
        <v>45879</v>
      </c>
      <c r="B49" s="6" t="n">
        <v>50300</v>
      </c>
      <c r="C49" s="7" t="n">
        <v>50062.38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49178.49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50116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43005.67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40576.086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46057.246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</row>
    <row r="50">
      <c r="A50" s="5" t="n">
        <v>45886</v>
      </c>
      <c r="B50" s="6" t="n">
        <v>50500</v>
      </c>
      <c r="C50" s="7" t="n">
        <v>50362.938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50439.47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50394.9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43679.22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40775.895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46251.027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</row>
    <row r="51">
      <c r="A51" s="5" t="n">
        <v>45893</v>
      </c>
      <c r="B51" s="6" t="n">
        <v>50500</v>
      </c>
      <c r="C51" s="7" t="n">
        <v>51088.996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49993.13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50198.242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44594.01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40546.254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46318.734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</row>
    <row r="52">
      <c r="A52" s="5" t="n">
        <v>45900</v>
      </c>
      <c r="B52" s="6" t="n">
        <v>50700</v>
      </c>
      <c r="C52" s="7" t="n">
        <v>51213.688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50152.56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49031.918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45216.027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39804.457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45744.797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</row>
    <row r="53">
      <c r="A53" s="5" t="n">
        <v>45907</v>
      </c>
      <c r="B53" s="6" t="n">
        <v>50800</v>
      </c>
      <c r="C53" s="7" t="n">
        <v>51248.11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49783.816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48730.707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45266.863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39920.047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45708.32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</row>
    <row r="54">
      <c r="A54" s="5" t="n">
        <v>45914</v>
      </c>
      <c r="B54" s="6" t="n">
        <v>50500</v>
      </c>
      <c r="C54" s="7" t="n">
        <v>51279.14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49508.008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48248.04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44982.105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39799.777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45441.414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</row>
    <row r="55">
      <c r="A55" s="5" t="n">
        <v>45921</v>
      </c>
      <c r="B55" s="6" t="n">
        <v>50000</v>
      </c>
      <c r="C55" s="7" t="n">
        <v>51326.742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49375.887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47926.973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44782.74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39610.61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45585.61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</row>
    <row r="56">
      <c r="A56" s="5" t="n">
        <v>45928</v>
      </c>
      <c r="B56" s="6" t="n">
        <v>50000</v>
      </c>
      <c r="C56" s="7" t="n">
        <v>51054.844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49339.953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47325.41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44477.324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39676.402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45475.777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</row>
    <row r="57">
      <c r="A57" s="5" t="n">
        <v>45935</v>
      </c>
      <c r="B57" s="6" t="n">
        <v>50000</v>
      </c>
      <c r="C57" s="7" t="n">
        <v>50844.37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49128.36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46816.63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44371.152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39751.832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45384.645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</row>
    <row r="58">
      <c r="A58" s="5" t="n">
        <v>45942</v>
      </c>
      <c r="B58" s="6" t="n">
        <v>49800</v>
      </c>
      <c r="C58" s="7" t="n">
        <v>50597.938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48577.85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46259.918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43960.617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39983.18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44973.22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</row>
    <row r="59">
      <c r="A59" s="5" t="n">
        <v>45949</v>
      </c>
      <c r="B59" s="6" t="n">
        <v>49000</v>
      </c>
      <c r="C59" s="7" t="n">
        <v>50146.965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48193.066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45981.41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43352.61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39795.094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44559.7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</row>
    <row r="60">
      <c r="A60" s="5" t="n">
        <v>45956</v>
      </c>
      <c r="B60" s="6" t="n">
        <v>49000</v>
      </c>
      <c r="C60" s="7" t="n">
        <v>49418.34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47734.2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46107.375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42940.7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39750.027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44192.81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</row>
    <row r="61">
      <c r="A61" s="5" t="n">
        <v>45963</v>
      </c>
      <c r="B61" s="6" t="n">
        <v>49000</v>
      </c>
      <c r="C61" s="7" t="n">
        <v>48962.94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47874.51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46373.867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42500.71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39181.85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43865.47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</row>
    <row r="62">
      <c r="A62" s="5" t="n">
        <v>45970</v>
      </c>
      <c r="B62" s="6" t="n">
        <v>49600</v>
      </c>
      <c r="C62" s="7" t="n">
        <v>48603.207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47201.637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46583.34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41912.336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38753.65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43577.76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</row>
    <row r="63">
      <c r="A63" s="5" t="n">
        <v>45977</v>
      </c>
      <c r="B63" s="6" t="n">
        <v>49600</v>
      </c>
      <c r="C63" s="7" t="n">
        <v>48738.977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47626.02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46750.88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41807.004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38421.215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43487.16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</row>
    <row r="64">
      <c r="A64" s="5" t="n">
        <v>45984</v>
      </c>
      <c r="B64" s="6" t="n">
        <v>49000</v>
      </c>
      <c r="C64" s="7" t="n">
        <v>48698.516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46891.73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48525.152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42945.137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38021.492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43390.375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</row>
    <row r="65">
      <c r="A65" s="5" t="n">
        <v>45991</v>
      </c>
      <c r="B65" s="6" t="n">
        <v>48600</v>
      </c>
      <c r="C65" s="7" t="n">
        <v>48663.457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46447.01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48374.082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43482.074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38218.664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43861.996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</row>
    <row r="66">
      <c r="A66" s="5" t="n">
        <v>45998</v>
      </c>
      <c r="B66" s="6" t="n">
        <v>46700</v>
      </c>
      <c r="C66" s="7" t="n">
        <v>48305.742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46096.62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48541.785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43698.055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38550.535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44268.117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</row>
    <row r="67">
      <c r="A67" s="5" t="n">
        <v>46005</v>
      </c>
      <c r="B67" s="6" t="n">
        <v>46800</v>
      </c>
      <c r="C67" s="7" t="n">
        <v>47427.17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45711.492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48900.758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43913.273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38759.496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44608.23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</row>
    <row r="68">
      <c r="A68" s="5" t="n">
        <v>46012</v>
      </c>
      <c r="B68" s="6" t="n">
        <v>46800</v>
      </c>
      <c r="C68" s="7" t="n">
        <v>47046.734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45779.203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49191.25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44324.82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39235.79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44579.25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</row>
    <row r="69">
      <c r="A69" s="5" t="n">
        <v>46019</v>
      </c>
      <c r="B69" s="6" t="n">
        <v>48000</v>
      </c>
      <c r="C69" s="7" t="n">
        <v>47011.824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46936.547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49463.055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45024.35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39279.8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44683.15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</row>
    <row r="70">
      <c r="A70" s="5" t="n">
        <v>46026</v>
      </c>
      <c r="B70" s="6" t="n">
        <v>50400</v>
      </c>
      <c r="C70" s="7" t="n">
        <v>47325.04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49021.21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50249.406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45708.047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39690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45357.258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</row>
    <row r="71">
      <c r="A71" s="5" t="n">
        <v>46033</v>
      </c>
      <c r="B71" s="6" t="n">
        <v>51400</v>
      </c>
      <c r="C71" s="7" t="n">
        <v>49054.125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51473.45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52578.37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47260.36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42606.477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47474.133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</row>
    <row r="72">
      <c r="A72" s="5" t="n">
        <v>46040</v>
      </c>
      <c r="B72" s="6" t="n">
        <v>52000</v>
      </c>
      <c r="C72" s="7" t="n">
        <v>51048.85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51041.29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53714.25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48315.35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43280.867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48361.734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</row>
    <row r="73">
      <c r="A73" s="5" t="n">
        <v>46047</v>
      </c>
      <c r="B73" s="6" t="n">
        <v>53000</v>
      </c>
      <c r="C73" s="7" t="n">
        <v>52334.52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52193.91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54390.79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48795.938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43324.863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48728.574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</row>
    <row r="74">
      <c r="A74" s="5" t="n">
        <v>46054</v>
      </c>
      <c r="B74" s="6" t="n">
        <v>53400</v>
      </c>
      <c r="C74" s="7" t="n">
        <v>53336.145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52652.027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55903.42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49210.105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42979.62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49160.586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</row>
    <row r="75">
      <c r="A75" s="5" t="n">
        <v>46061</v>
      </c>
      <c r="B75" s="6" t="n">
        <v>55100</v>
      </c>
      <c r="C75" s="7" t="n">
        <v>53967.773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53508.105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57131.344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49308.047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43113.72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49297.965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</row>
    <row r="76">
      <c r="A76" s="5" t="n">
        <v>46068</v>
      </c>
      <c r="B76" s="6" t="n">
        <v>55200</v>
      </c>
      <c r="C76" s="7" t="n">
        <v>54282.19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COUNTIF(G76:G85,1)&amp;"/"&amp;COUNT(G76:G85)</f>
        <v/>
      </c>
      <c r="I76" s="6" t="n">
        <v>53650</v>
      </c>
      <c r="J76" s="7" t="n">
        <v>53837.13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COUNTIF(N76:N85,1)&amp;"/"&amp;COUNT(N76:N85)</f>
        <v/>
      </c>
      <c r="P76" s="6" t="n">
        <v>58900</v>
      </c>
      <c r="Q76" s="7" t="n">
        <v>59204.645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COUNTIF(U76:U85,1)&amp;"/"&amp;COUNT(U76:U85)</f>
        <v/>
      </c>
      <c r="W76" s="6" t="n">
        <v>50000</v>
      </c>
      <c r="X76" s="7" t="n">
        <v>49585.37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COUNTIF(AB76:AB85,1)&amp;"/"&amp;COUNT(AB76:AB85)</f>
        <v/>
      </c>
      <c r="AD76" s="6" t="n">
        <v>45266.67</v>
      </c>
      <c r="AE76" s="7" t="n">
        <v>44757.293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COUNTIF(AI76:AI85,1)&amp;"/"&amp;COUNT(AI76:AI85)</f>
        <v/>
      </c>
      <c r="AK76" s="6" t="n">
        <v>49800</v>
      </c>
      <c r="AL76" s="7" t="n">
        <v>48611.043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COUNTIF(AP76:AP85,1)&amp;"/"&amp;COUNT(AP76:AP85)</f>
        <v/>
      </c>
    </row>
    <row r="77">
      <c r="A77" s="5" t="n">
        <v>46075</v>
      </c>
      <c r="B77" s="6" t="n">
        <v>54600</v>
      </c>
      <c r="C77" s="7" t="n">
        <v>54301.293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53469.94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60226.76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49554.45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45991.137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49373.527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</row>
    <row r="78">
      <c r="A78" s="5" t="n">
        <v>46082</v>
      </c>
      <c r="B78" s="6" t="n">
        <v>54000</v>
      </c>
      <c r="C78" s="7" t="n">
        <v>54331.598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53461.1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60253.95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49540.555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46019.375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49219.254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</row>
    <row r="79">
      <c r="A79" s="5" t="n">
        <v>46089</v>
      </c>
      <c r="B79" s="6" t="n">
        <v>54400</v>
      </c>
      <c r="C79" s="7" t="n">
        <v>54015.7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53626.516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59804.863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49420.305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45091.043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48766.44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</row>
    <row r="80">
      <c r="A80" s="5" t="n">
        <v>46096</v>
      </c>
      <c r="B80" s="6" t="n">
        <v>55600</v>
      </c>
      <c r="C80" s="7" t="n">
        <v>54012.316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54462.535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59961.637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49781.355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45583.94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49532.707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</row>
    <row r="81">
      <c r="A81" s="5" t="n">
        <v>46103</v>
      </c>
      <c r="B81" s="6" t="n">
        <v>56900</v>
      </c>
      <c r="C81" s="7" t="n">
        <v>55022.2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55736.47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60053.965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50757.418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46611.105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50203.285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</row>
    <row r="82">
      <c r="A82" s="5" t="n">
        <v>46110</v>
      </c>
      <c r="B82" s="6" t="n">
        <v>58200</v>
      </c>
      <c r="C82" s="7" t="n">
        <v>55987.086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56558.07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60231.637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51195.477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46722.79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50158.85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</row>
    <row r="83">
      <c r="A83" s="5" t="n">
        <v>46117</v>
      </c>
      <c r="B83" s="6" t="n">
        <v>59100</v>
      </c>
      <c r="C83" s="7" t="n">
        <v>57289.883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57795.473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60463.836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51232.375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46758.867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50253.957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</row>
    <row r="84">
      <c r="A84" s="5" t="n">
        <v>46124</v>
      </c>
      <c r="B84" s="6" t="n">
        <v>59500</v>
      </c>
      <c r="C84" s="7" t="n">
        <v>58875.21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59778.73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60897.51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52797.934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47931.508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51067.402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</row>
    <row r="85">
      <c r="A85" s="5" t="n">
        <v>46131</v>
      </c>
      <c r="B85" s="6" t="n">
        <v>59500</v>
      </c>
      <c r="C85" s="7" t="n">
        <v>60131.65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59557.734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61516.465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54295.41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48984.4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51977.793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</row>
  </sheetData>
  <mergeCells count="49">
    <mergeCell ref="AC40:AC51"/>
    <mergeCell ref="I1:O1"/>
    <mergeCell ref="O52:O63"/>
    <mergeCell ref="H16:H27"/>
    <mergeCell ref="AJ64:AJ75"/>
    <mergeCell ref="V16:V27"/>
    <mergeCell ref="H28:H39"/>
    <mergeCell ref="AC52:AC63"/>
    <mergeCell ref="AJ76:AJ85"/>
    <mergeCell ref="H76:H85"/>
    <mergeCell ref="AQ28:AQ39"/>
    <mergeCell ref="AQ40:AQ51"/>
    <mergeCell ref="AJ4:AJ15"/>
    <mergeCell ref="AJ40:AJ51"/>
    <mergeCell ref="V52:V63"/>
    <mergeCell ref="H4:H15"/>
    <mergeCell ref="AJ16:AJ27"/>
    <mergeCell ref="AJ52:AJ63"/>
    <mergeCell ref="AC16:AC27"/>
    <mergeCell ref="V64:V75"/>
    <mergeCell ref="O28:O39"/>
    <mergeCell ref="V76:V85"/>
    <mergeCell ref="AQ76:AQ85"/>
    <mergeCell ref="V4:V15"/>
    <mergeCell ref="P1:V1"/>
    <mergeCell ref="AC28:AC39"/>
    <mergeCell ref="A1:A3"/>
    <mergeCell ref="AQ16:AQ27"/>
    <mergeCell ref="H64:H75"/>
    <mergeCell ref="AC76:AC85"/>
    <mergeCell ref="V28:V39"/>
    <mergeCell ref="AD1:AJ1"/>
    <mergeCell ref="H40:H51"/>
    <mergeCell ref="W1:AC1"/>
    <mergeCell ref="V40:V51"/>
    <mergeCell ref="O4:O15"/>
    <mergeCell ref="H52:H63"/>
    <mergeCell ref="AQ52:AQ63"/>
    <mergeCell ref="B1:H1"/>
    <mergeCell ref="AC64:AC75"/>
    <mergeCell ref="AC4:AC15"/>
    <mergeCell ref="O16:O27"/>
    <mergeCell ref="AQ4:AQ15"/>
    <mergeCell ref="AQ64:AQ75"/>
    <mergeCell ref="O64:O75"/>
    <mergeCell ref="AJ28:AJ39"/>
    <mergeCell ref="O40:O51"/>
    <mergeCell ref="AK1:AQ1"/>
    <mergeCell ref="O76:O8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Q8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</row>
    <row r="3">
      <c r="D3" s="4">
        <f>AVERAGE(D4:D85)</f>
        <v/>
      </c>
      <c r="E3" s="4">
        <f>AVERAGE(E4:E85)</f>
        <v/>
      </c>
      <c r="F3" s="4">
        <f>AVERAGE(F4:F85)</f>
        <v/>
      </c>
      <c r="G3" s="4">
        <f>AVERAGE(G4:G85)</f>
        <v/>
      </c>
      <c r="K3" s="4">
        <f>AVERAGE(K4:K85)</f>
        <v/>
      </c>
      <c r="L3" s="4">
        <f>AVERAGE(L4:L85)</f>
        <v/>
      </c>
      <c r="M3" s="4">
        <f>AVERAGE(M4:M85)</f>
        <v/>
      </c>
      <c r="N3" s="4">
        <f>AVERAGE(N4:N85)</f>
        <v/>
      </c>
      <c r="R3" s="4">
        <f>AVERAGE(R4:R85)</f>
        <v/>
      </c>
      <c r="S3" s="4">
        <f>AVERAGE(S4:S85)</f>
        <v/>
      </c>
      <c r="T3" s="4">
        <f>AVERAGE(T4:T85)</f>
        <v/>
      </c>
      <c r="U3" s="4">
        <f>AVERAGE(U4:U85)</f>
        <v/>
      </c>
      <c r="Y3" s="4">
        <f>AVERAGE(Y4:Y85)</f>
        <v/>
      </c>
      <c r="Z3" s="4">
        <f>AVERAGE(Z4:Z85)</f>
        <v/>
      </c>
      <c r="AA3" s="4">
        <f>AVERAGE(AA4:AA85)</f>
        <v/>
      </c>
      <c r="AB3" s="4">
        <f>AVERAGE(AB4:AB85)</f>
        <v/>
      </c>
      <c r="AF3" s="4">
        <f>AVERAGE(AF4:AF85)</f>
        <v/>
      </c>
      <c r="AG3" s="4">
        <f>AVERAGE(AG4:AG85)</f>
        <v/>
      </c>
      <c r="AH3" s="4">
        <f>AVERAGE(AH4:AH85)</f>
        <v/>
      </c>
      <c r="AI3" s="4">
        <f>AVERAGE(AI4:AI85)</f>
        <v/>
      </c>
      <c r="AM3" s="4">
        <f>AVERAGE(AM4:AM85)</f>
        <v/>
      </c>
      <c r="AN3" s="4">
        <f>AVERAGE(AN4:AN85)</f>
        <v/>
      </c>
      <c r="AO3" s="4">
        <f>AVERAGE(AO4:AO85)</f>
        <v/>
      </c>
      <c r="AP3" s="4">
        <f>AVERAGE(AP4:AP85)</f>
        <v/>
      </c>
    </row>
    <row r="4">
      <c r="A4" s="5" t="n">
        <v>45564</v>
      </c>
      <c r="B4" s="6" t="n">
        <v>49000</v>
      </c>
      <c r="C4" s="7" t="n">
        <v>51012.656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47153.168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50950.305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47569.273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41736.3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47373.258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</row>
    <row r="5">
      <c r="A5" s="5" t="n">
        <v>45571</v>
      </c>
      <c r="B5" s="6" t="n">
        <v>49000</v>
      </c>
      <c r="C5" s="7" t="n">
        <v>50533.035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47048.504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50727.3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47535.75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42247.14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47861.895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</row>
    <row r="6">
      <c r="A6" s="5" t="n">
        <v>45578</v>
      </c>
      <c r="B6" s="6" t="n">
        <v>49200</v>
      </c>
      <c r="C6" s="7" t="n">
        <v>50310.11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47669.91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51589.207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47743.152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43086.027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48648.79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</row>
    <row r="7">
      <c r="A7" s="5" t="n">
        <v>45585</v>
      </c>
      <c r="B7" s="6" t="n">
        <v>49200</v>
      </c>
      <c r="C7" s="7" t="n">
        <v>50552.29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48708.83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53312.023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47999.89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43643.516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49507.688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</row>
    <row r="8">
      <c r="A8" s="5" t="n">
        <v>45592</v>
      </c>
      <c r="B8" s="6" t="n">
        <v>49200</v>
      </c>
      <c r="C8" s="7" t="n">
        <v>50380.023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48556.55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53772.52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48263.23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43972.445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49686.6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</row>
    <row r="9">
      <c r="A9" s="5" t="n">
        <v>45599</v>
      </c>
      <c r="B9" s="6" t="n">
        <v>49200</v>
      </c>
      <c r="C9" s="7" t="n">
        <v>50050.043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48141.152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53892.043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48446.426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43482.324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49545.027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</row>
    <row r="10">
      <c r="A10" s="5" t="n">
        <v>45606</v>
      </c>
      <c r="B10" s="6" t="n">
        <v>49000</v>
      </c>
      <c r="C10" s="7" t="n">
        <v>50133.684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47992.617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53491.527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48474.582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42438.047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48604.008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</row>
    <row r="11">
      <c r="A11" s="5" t="n">
        <v>45613</v>
      </c>
      <c r="B11" s="6" t="n">
        <v>49000</v>
      </c>
      <c r="C11" s="7" t="n">
        <v>50200.297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48253.312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53454.05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48481.184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42307.938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48449.598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</row>
    <row r="12">
      <c r="A12" s="5" t="n">
        <v>45620</v>
      </c>
      <c r="B12" s="6" t="n">
        <v>49000</v>
      </c>
      <c r="C12" s="7" t="n">
        <v>50279.81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48087.938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53495.746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48680.45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42522.984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48697.38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</row>
    <row r="13">
      <c r="A13" s="5" t="n">
        <v>45627</v>
      </c>
      <c r="B13" s="6" t="n">
        <v>48500</v>
      </c>
      <c r="C13" s="7" t="n">
        <v>50429.35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48037.3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53672.71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48787.023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42642.18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48652.316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</row>
    <row r="14">
      <c r="A14" s="5" t="n">
        <v>45634</v>
      </c>
      <c r="B14" s="6" t="n">
        <v>48200</v>
      </c>
      <c r="C14" s="7" t="n">
        <v>50732.15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47890.082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53033.55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48249.69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42151.33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48037.402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</row>
    <row r="15">
      <c r="A15" s="5" t="n">
        <v>45641</v>
      </c>
      <c r="B15" s="6" t="n">
        <v>48200</v>
      </c>
      <c r="C15" s="7" t="n">
        <v>50569.332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47320.332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52517.188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49170.395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42034.07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48546.52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</row>
    <row r="16">
      <c r="A16" s="5" t="n">
        <v>45648</v>
      </c>
      <c r="B16" s="6" t="n">
        <v>48200</v>
      </c>
      <c r="C16" s="7" t="n">
        <v>49574.52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47019.8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51521.54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49800.83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41930.543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50577.496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</row>
    <row r="17">
      <c r="A17" s="5" t="n">
        <v>45655</v>
      </c>
      <c r="B17" s="6" t="n">
        <v>48100</v>
      </c>
      <c r="C17" s="7" t="n">
        <v>49920.016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46465.5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51282.582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49612.457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42526.016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49846.598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</row>
    <row r="18">
      <c r="A18" s="5" t="n">
        <v>45662</v>
      </c>
      <c r="B18" s="6" t="n">
        <v>48100</v>
      </c>
      <c r="C18" s="7" t="n">
        <v>49781.086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46615.695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51663.332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49665.453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43464.453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49604.832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</row>
    <row r="19">
      <c r="A19" s="5" t="n">
        <v>45669</v>
      </c>
      <c r="B19" s="6" t="n">
        <v>48200</v>
      </c>
      <c r="C19" s="7" t="n">
        <v>49572.465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46513.11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51735.543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48921.895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43666.684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48489.906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</row>
    <row r="20">
      <c r="A20" s="5" t="n">
        <v>45676</v>
      </c>
      <c r="B20" s="6" t="n">
        <v>48500</v>
      </c>
      <c r="C20" s="7" t="n">
        <v>49654.965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46505.96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51481.76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48577.16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43409.996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47850.39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</row>
    <row r="21">
      <c r="A21" s="5" t="n">
        <v>45683</v>
      </c>
      <c r="B21" s="6" t="n">
        <v>48400</v>
      </c>
      <c r="C21" s="7" t="n">
        <v>49950.41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46365.977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51211.242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47861.008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43041.62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47879.203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</row>
    <row r="22">
      <c r="A22" s="5" t="n">
        <v>45690</v>
      </c>
      <c r="B22" s="6" t="n">
        <v>48600</v>
      </c>
      <c r="C22" s="7" t="n">
        <v>49984.445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46869.47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51331.79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47184.04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42935.023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48135.035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</row>
    <row r="23">
      <c r="A23" s="5" t="n">
        <v>45697</v>
      </c>
      <c r="B23" s="6" t="n">
        <v>49000</v>
      </c>
      <c r="C23" s="7" t="n">
        <v>50057.92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48206.562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50953.59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46547.406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42712.395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48081.293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</row>
    <row r="24">
      <c r="A24" s="5" t="n">
        <v>45704</v>
      </c>
      <c r="B24" s="6" t="n">
        <v>49000</v>
      </c>
      <c r="C24" s="7" t="n">
        <v>49787.164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48504.844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51428.008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46433.977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42795.457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47676.465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</row>
    <row r="25">
      <c r="A25" s="5" t="n">
        <v>45711</v>
      </c>
      <c r="B25" s="6" t="n">
        <v>49000</v>
      </c>
      <c r="C25" s="7" t="n">
        <v>49579.625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48413.52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51184.45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47030.73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42741.918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46883.387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</row>
    <row r="26">
      <c r="A26" s="5" t="n">
        <v>45718</v>
      </c>
      <c r="B26" s="6" t="n">
        <v>49000</v>
      </c>
      <c r="C26" s="7" t="n">
        <v>49416.066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48221.418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51819.137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47289.1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42796.04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46781.56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</row>
    <row r="27">
      <c r="A27" s="5" t="n">
        <v>45725</v>
      </c>
      <c r="B27" s="6" t="n">
        <v>49000</v>
      </c>
      <c r="C27" s="7" t="n">
        <v>49502.63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48111.6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52578.273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47396.582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43182.74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46782.215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</row>
    <row r="28">
      <c r="A28" s="5" t="n">
        <v>45732</v>
      </c>
      <c r="B28" s="6" t="n">
        <v>49500</v>
      </c>
      <c r="C28" s="7" t="n">
        <v>50215.7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48719.55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51813.516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46425.523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41051.754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46493.016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</row>
    <row r="29">
      <c r="A29" s="5" t="n">
        <v>45739</v>
      </c>
      <c r="B29" s="6" t="n">
        <v>49600</v>
      </c>
      <c r="C29" s="7" t="n">
        <v>49941.586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49621.145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52697.715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46370.496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41487.145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46643.44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</row>
    <row r="30">
      <c r="A30" s="5" t="n">
        <v>45746</v>
      </c>
      <c r="B30" s="6" t="n">
        <v>51500</v>
      </c>
      <c r="C30" s="7" t="n">
        <v>50189.31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50698.438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53306.508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46311.25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41373.062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46467.066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</row>
    <row r="31">
      <c r="A31" s="5" t="n">
        <v>45753</v>
      </c>
      <c r="B31" s="6" t="n">
        <v>52000</v>
      </c>
      <c r="C31" s="7" t="n">
        <v>50384.547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52084.164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53524.117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46685.332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41454.723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46413.773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</row>
    <row r="32">
      <c r="A32" s="5" t="n">
        <v>45760</v>
      </c>
      <c r="B32" s="6" t="n">
        <v>51500</v>
      </c>
      <c r="C32" s="7" t="n">
        <v>50736.492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52430.074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53730.63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46940.023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41795.938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46396.785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</row>
    <row r="33">
      <c r="A33" s="5" t="n">
        <v>45767</v>
      </c>
      <c r="B33" s="6" t="n">
        <v>51500</v>
      </c>
      <c r="C33" s="7" t="n">
        <v>50798.28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51999.64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53498.51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48051.17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41484.258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47125.227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</row>
    <row r="34">
      <c r="A34" s="5" t="n">
        <v>45774</v>
      </c>
      <c r="B34" s="6" t="n">
        <v>52500</v>
      </c>
      <c r="C34" s="7" t="n">
        <v>51115.42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51506.21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54255.418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48326.363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41587.65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47437.016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</row>
    <row r="35">
      <c r="A35" s="5" t="n">
        <v>45781</v>
      </c>
      <c r="B35" s="6" t="n">
        <v>53000</v>
      </c>
      <c r="C35" s="7" t="n">
        <v>51166.195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52137.996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54893.758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48550.613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41370.37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47808.02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</row>
    <row r="36">
      <c r="A36" s="5" t="n">
        <v>45788</v>
      </c>
      <c r="B36" s="6" t="n">
        <v>53000</v>
      </c>
      <c r="C36" s="7" t="n">
        <v>51376.367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52931.574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55570.723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48295.363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41112.27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47696.332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</row>
    <row r="37">
      <c r="A37" s="5" t="n">
        <v>45795</v>
      </c>
      <c r="B37" s="6" t="n">
        <v>53300</v>
      </c>
      <c r="C37" s="7" t="n">
        <v>51253.777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52604.594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55415.977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47206.89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40806.33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46717.43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</row>
    <row r="38">
      <c r="A38" s="5" t="n">
        <v>45802</v>
      </c>
      <c r="B38" s="6" t="n">
        <v>52800</v>
      </c>
      <c r="C38" s="7" t="n">
        <v>51555.348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52045.613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53893.266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46169.453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40566.19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46211.863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</row>
    <row r="39">
      <c r="A39" s="5" t="n">
        <v>45809</v>
      </c>
      <c r="B39" s="6" t="n">
        <v>52000</v>
      </c>
      <c r="C39" s="7" t="n">
        <v>50748.41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51829.54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53317.086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46112.035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40319.54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46398.914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</row>
    <row r="40">
      <c r="A40" s="5" t="n">
        <v>45816</v>
      </c>
      <c r="B40" s="6" t="n">
        <v>52000</v>
      </c>
      <c r="C40" s="7" t="n">
        <v>50716.67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51417.95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53168.37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45766.336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42136.656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46518.938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</row>
    <row r="41">
      <c r="A41" s="5" t="n">
        <v>45823</v>
      </c>
      <c r="B41" s="6" t="n">
        <v>52000</v>
      </c>
      <c r="C41" s="7" t="n">
        <v>50722.473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51374.094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52578.047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45347.473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41862.504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46287.547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</row>
    <row r="42">
      <c r="A42" s="5" t="n">
        <v>45830</v>
      </c>
      <c r="B42" s="6" t="n">
        <v>52000</v>
      </c>
      <c r="C42" s="7" t="n">
        <v>50735.86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51180.844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51988.65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44866.133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41834.797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46444.465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</row>
    <row r="43">
      <c r="A43" s="5" t="n">
        <v>45837</v>
      </c>
      <c r="B43" s="6" t="n">
        <v>51900</v>
      </c>
      <c r="C43" s="7" t="n">
        <v>50484.1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50895.887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51072.08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44062.645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41430.605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46143.297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</row>
    <row r="44">
      <c r="A44" s="5" t="n">
        <v>45844</v>
      </c>
      <c r="B44" s="6" t="n">
        <v>51600</v>
      </c>
      <c r="C44" s="7" t="n">
        <v>50542.832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50810.945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50757.51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43660.785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41313.855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45948.355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</row>
    <row r="45">
      <c r="A45" s="5" t="n">
        <v>45851</v>
      </c>
      <c r="B45" s="6" t="n">
        <v>51000</v>
      </c>
      <c r="C45" s="7" t="n">
        <v>50254.848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50478.4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49578.08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43160.94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40924.727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45800.812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</row>
    <row r="46">
      <c r="A46" s="5" t="n">
        <v>45858</v>
      </c>
      <c r="B46" s="6" t="n">
        <v>50500</v>
      </c>
      <c r="C46" s="7" t="n">
        <v>50400.227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49677.434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48223.992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42730.26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40632.28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45618.29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</row>
    <row r="47">
      <c r="A47" s="5" t="n">
        <v>45865</v>
      </c>
      <c r="B47" s="6" t="n">
        <v>50000</v>
      </c>
      <c r="C47" s="7" t="n">
        <v>50464.617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49268.363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47054.734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42506.305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40583.92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45502.63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</row>
    <row r="48">
      <c r="A48" s="5" t="n">
        <v>45872</v>
      </c>
      <c r="B48" s="6" t="n">
        <v>50000</v>
      </c>
      <c r="C48" s="7" t="n">
        <v>50667.074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48810.242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47049.07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42881.457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40600.99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45668.78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</row>
    <row r="49">
      <c r="A49" s="5" t="n">
        <v>45879</v>
      </c>
      <c r="B49" s="6" t="n">
        <v>50300</v>
      </c>
      <c r="C49" s="7" t="n">
        <v>50931.438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49373.49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46571.65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43105.887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40667.31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45912.38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</row>
    <row r="50">
      <c r="A50" s="5" t="n">
        <v>45886</v>
      </c>
      <c r="B50" s="6" t="n">
        <v>50500</v>
      </c>
      <c r="C50" s="7" t="n">
        <v>51268.87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50318.793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47253.85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43676.14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40922.543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46270.34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</row>
    <row r="51">
      <c r="A51" s="5" t="n">
        <v>45893</v>
      </c>
      <c r="B51" s="6" t="n">
        <v>50500</v>
      </c>
      <c r="C51" s="7" t="n">
        <v>51514.58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50113.023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48123.918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43947.867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40878.613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46308.285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</row>
    <row r="52">
      <c r="A52" s="5" t="n">
        <v>45900</v>
      </c>
      <c r="B52" s="6" t="n">
        <v>50700</v>
      </c>
      <c r="C52" s="7" t="n">
        <v>51647.836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49979.17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48731.105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43978.234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41244.64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46853.9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</row>
    <row r="53">
      <c r="A53" s="5" t="n">
        <v>45907</v>
      </c>
      <c r="B53" s="6" t="n">
        <v>50800</v>
      </c>
      <c r="C53" s="7" t="n">
        <v>52097.582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49670.414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48877.227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44046.426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40960.91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46486.93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</row>
    <row r="54">
      <c r="A54" s="5" t="n">
        <v>45914</v>
      </c>
      <c r="B54" s="6" t="n">
        <v>50500</v>
      </c>
      <c r="C54" s="7" t="n">
        <v>51735.906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49685.06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48772.297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44150.785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40877.55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46032.99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</row>
    <row r="55">
      <c r="A55" s="5" t="n">
        <v>45921</v>
      </c>
      <c r="B55" s="6" t="n">
        <v>50000</v>
      </c>
      <c r="C55" s="7" t="n">
        <v>51817.434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49442.19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48320.496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44293.45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40853.97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45557.617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</row>
    <row r="56">
      <c r="A56" s="5" t="n">
        <v>45928</v>
      </c>
      <c r="B56" s="6" t="n">
        <v>50000</v>
      </c>
      <c r="C56" s="7" t="n">
        <v>52045.14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49226.973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48276.195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44392.277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40895.402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45108.91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</row>
    <row r="57">
      <c r="A57" s="5" t="n">
        <v>45935</v>
      </c>
      <c r="B57" s="6" t="n">
        <v>50000</v>
      </c>
      <c r="C57" s="7" t="n">
        <v>51954.51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48902.867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48333.97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44204.76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40723.87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44788.43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</row>
    <row r="58">
      <c r="A58" s="5" t="n">
        <v>45942</v>
      </c>
      <c r="B58" s="6" t="n">
        <v>49800</v>
      </c>
      <c r="C58" s="7" t="n">
        <v>51721.984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48480.836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47893.914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44233.75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40509.53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44671.477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</row>
    <row r="59">
      <c r="A59" s="5" t="n">
        <v>45949</v>
      </c>
      <c r="B59" s="6" t="n">
        <v>49000</v>
      </c>
      <c r="C59" s="7" t="n">
        <v>51289.434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48241.586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47480.062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44122.48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40065.215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44339.914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</row>
    <row r="60">
      <c r="A60" s="5" t="n">
        <v>45956</v>
      </c>
      <c r="B60" s="6" t="n">
        <v>49000</v>
      </c>
      <c r="C60" s="7" t="n">
        <v>51151.414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47784.926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46939.633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43806.48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39782.14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44067.87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</row>
    <row r="61">
      <c r="A61" s="5" t="n">
        <v>45963</v>
      </c>
      <c r="B61" s="6" t="n">
        <v>49000</v>
      </c>
      <c r="C61" s="7" t="n">
        <v>50932.258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47718.773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46763.62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43648.33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39411.527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43870.25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</row>
    <row r="62">
      <c r="A62" s="5" t="n">
        <v>45970</v>
      </c>
      <c r="B62" s="6" t="n">
        <v>49600</v>
      </c>
      <c r="C62" s="7" t="n">
        <v>50255.598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47042.848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46657.72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43355.8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39137.367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43465.42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</row>
    <row r="63">
      <c r="A63" s="5" t="n">
        <v>45977</v>
      </c>
      <c r="B63" s="6" t="n">
        <v>49600</v>
      </c>
      <c r="C63" s="7" t="n">
        <v>50037.812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47284.03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46747.453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43452.266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38830.484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43181.703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</row>
    <row r="64">
      <c r="A64" s="5" t="n">
        <v>45984</v>
      </c>
      <c r="B64" s="6" t="n">
        <v>49000</v>
      </c>
      <c r="C64" s="7" t="n">
        <v>50346.97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46836.86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46408.203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42484.707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39151.54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43094.79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</row>
    <row r="65">
      <c r="A65" s="5" t="n">
        <v>45991</v>
      </c>
      <c r="B65" s="6" t="n">
        <v>48600</v>
      </c>
      <c r="C65" s="7" t="n">
        <v>50127.11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46249.008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45926.48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42756.215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39168.88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43186.65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</row>
    <row r="66">
      <c r="A66" s="5" t="n">
        <v>45998</v>
      </c>
      <c r="B66" s="6" t="n">
        <v>46700</v>
      </c>
      <c r="C66" s="7" t="n">
        <v>49853.906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45850.883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45688.99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43253.426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39108.6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43480.074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</row>
    <row r="67">
      <c r="A67" s="5" t="n">
        <v>46005</v>
      </c>
      <c r="B67" s="6" t="n">
        <v>46800</v>
      </c>
      <c r="C67" s="7" t="n">
        <v>49573.867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45556.184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45599.91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43358.137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39064.184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43447.742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</row>
    <row r="68">
      <c r="A68" s="5" t="n">
        <v>46012</v>
      </c>
      <c r="B68" s="6" t="n">
        <v>46800</v>
      </c>
      <c r="C68" s="7" t="n">
        <v>49403.21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45743.312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46338.203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43517.594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39275.195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43400.58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</row>
    <row r="69">
      <c r="A69" s="5" t="n">
        <v>46019</v>
      </c>
      <c r="B69" s="6" t="n">
        <v>48000</v>
      </c>
      <c r="C69" s="7" t="n">
        <v>48939.31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46689.152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47261.977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43793.53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39312.203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43332.78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</row>
    <row r="70">
      <c r="A70" s="5" t="n">
        <v>46026</v>
      </c>
      <c r="B70" s="6" t="n">
        <v>50400</v>
      </c>
      <c r="C70" s="7" t="n">
        <v>48949.035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48544.516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49335.508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44325.305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40076.016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43562.11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</row>
    <row r="71">
      <c r="A71" s="5" t="n">
        <v>46033</v>
      </c>
      <c r="B71" s="6" t="n">
        <v>51400</v>
      </c>
      <c r="C71" s="7" t="n">
        <v>49056.06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50901.285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52550.215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46115.113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41691.324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45006.2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</row>
    <row r="72">
      <c r="A72" s="5" t="n">
        <v>46040</v>
      </c>
      <c r="B72" s="6" t="n">
        <v>52000</v>
      </c>
      <c r="C72" s="7" t="n">
        <v>49323.11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50825.79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54342.54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47258.64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43348.67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46175.258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</row>
    <row r="73">
      <c r="A73" s="5" t="n">
        <v>46047</v>
      </c>
      <c r="B73" s="6" t="n">
        <v>53000</v>
      </c>
      <c r="C73" s="7" t="n">
        <v>49213.887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51776.062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55838.223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47676.43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44123.164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46651.957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</row>
    <row r="74">
      <c r="A74" s="5" t="n">
        <v>46054</v>
      </c>
      <c r="B74" s="6" t="n">
        <v>53400</v>
      </c>
      <c r="C74" s="7" t="n">
        <v>49427.332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52418.227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56084.05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48726.65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44655.965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47478.203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</row>
    <row r="75">
      <c r="A75" s="5" t="n">
        <v>46061</v>
      </c>
      <c r="B75" s="6" t="n">
        <v>55100</v>
      </c>
      <c r="C75" s="7" t="n">
        <v>49706.297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53242.89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56927.645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49459.69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45074.254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47919.086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</row>
    <row r="76">
      <c r="A76" s="5" t="n">
        <v>46068</v>
      </c>
      <c r="B76" s="6" t="n">
        <v>55200</v>
      </c>
      <c r="C76" s="7" t="n">
        <v>49661.01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COUNTIF(G76:G85,1)&amp;"/"&amp;COUNT(G76:G85)</f>
        <v/>
      </c>
      <c r="I76" s="6" t="n">
        <v>53650</v>
      </c>
      <c r="J76" s="7" t="n">
        <v>53788.15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COUNTIF(N76:N85,1)&amp;"/"&amp;COUNT(N76:N85)</f>
        <v/>
      </c>
      <c r="P76" s="6" t="n">
        <v>58900</v>
      </c>
      <c r="Q76" s="7" t="n">
        <v>57294.527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COUNTIF(U76:U85,1)&amp;"/"&amp;COUNT(U76:U85)</f>
        <v/>
      </c>
      <c r="W76" s="6" t="n">
        <v>50000</v>
      </c>
      <c r="X76" s="7" t="n">
        <v>49621.133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COUNTIF(AB76:AB85,1)&amp;"/"&amp;COUNT(AB76:AB85)</f>
        <v/>
      </c>
      <c r="AD76" s="6" t="n">
        <v>45266.67</v>
      </c>
      <c r="AE76" s="7" t="n">
        <v>45961.434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COUNTIF(AI76:AI85,1)&amp;"/"&amp;COUNT(AI76:AI85)</f>
        <v/>
      </c>
      <c r="AK76" s="6" t="n">
        <v>49800</v>
      </c>
      <c r="AL76" s="7" t="n">
        <v>48353.777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COUNTIF(AP76:AP85,1)&amp;"/"&amp;COUNT(AP76:AP85)</f>
        <v/>
      </c>
    </row>
    <row r="77">
      <c r="A77" s="5" t="n">
        <v>46075</v>
      </c>
      <c r="B77" s="6" t="n">
        <v>54600</v>
      </c>
      <c r="C77" s="7" t="n">
        <v>49808.453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53589.883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58462.906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50250.51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47049.117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48288.41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</row>
    <row r="78">
      <c r="A78" s="5" t="n">
        <v>46082</v>
      </c>
      <c r="B78" s="6" t="n">
        <v>54000</v>
      </c>
      <c r="C78" s="7" t="n">
        <v>50222.61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53557.676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58537.36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50466.17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46579.008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48258.76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</row>
    <row r="79">
      <c r="A79" s="5" t="n">
        <v>46089</v>
      </c>
      <c r="B79" s="6" t="n">
        <v>54400</v>
      </c>
      <c r="C79" s="7" t="n">
        <v>50638.04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53697.4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59117.33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51335.88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46958.395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48319.695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</row>
    <row r="80">
      <c r="A80" s="5" t="n">
        <v>46096</v>
      </c>
      <c r="B80" s="6" t="n">
        <v>55600</v>
      </c>
      <c r="C80" s="7" t="n">
        <v>50914.527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54539.336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59252.49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51954.777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47032.395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48466.95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</row>
    <row r="81">
      <c r="A81" s="5" t="n">
        <v>46103</v>
      </c>
      <c r="B81" s="6" t="n">
        <v>56900</v>
      </c>
      <c r="C81" s="7" t="n">
        <v>51401.457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55718.99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59765.22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52341.668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47714.168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48557.266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</row>
    <row r="82">
      <c r="A82" s="5" t="n">
        <v>46110</v>
      </c>
      <c r="B82" s="6" t="n">
        <v>58200</v>
      </c>
      <c r="C82" s="7" t="n">
        <v>52111.32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56358.984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60086.168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52737.84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48679.492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49146.68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</row>
    <row r="83">
      <c r="A83" s="5" t="n">
        <v>46117</v>
      </c>
      <c r="B83" s="6" t="n">
        <v>59100</v>
      </c>
      <c r="C83" s="7" t="n">
        <v>52800.23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57427.82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60392.844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52696.434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49061.36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49620.277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</row>
    <row r="84">
      <c r="A84" s="5" t="n">
        <v>46124</v>
      </c>
      <c r="B84" s="6" t="n">
        <v>59500</v>
      </c>
      <c r="C84" s="7" t="n">
        <v>53606.426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59325.145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61022.418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52837.2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49773.125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50243.395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</row>
    <row r="85">
      <c r="A85" s="5" t="n">
        <v>46131</v>
      </c>
      <c r="B85" s="6" t="n">
        <v>59500</v>
      </c>
      <c r="C85" s="7" t="n">
        <v>54128.742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59313.258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61015.28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52992.586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49431.508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50878.77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</row>
  </sheetData>
  <mergeCells count="49">
    <mergeCell ref="AC40:AC51"/>
    <mergeCell ref="I1:O1"/>
    <mergeCell ref="O52:O63"/>
    <mergeCell ref="H16:H27"/>
    <mergeCell ref="AJ64:AJ75"/>
    <mergeCell ref="V16:V27"/>
    <mergeCell ref="H28:H39"/>
    <mergeCell ref="AC52:AC63"/>
    <mergeCell ref="AJ76:AJ85"/>
    <mergeCell ref="H76:H85"/>
    <mergeCell ref="AQ28:AQ39"/>
    <mergeCell ref="AQ40:AQ51"/>
    <mergeCell ref="AJ4:AJ15"/>
    <mergeCell ref="AJ40:AJ51"/>
    <mergeCell ref="V52:V63"/>
    <mergeCell ref="H4:H15"/>
    <mergeCell ref="AJ16:AJ27"/>
    <mergeCell ref="AJ52:AJ63"/>
    <mergeCell ref="AC16:AC27"/>
    <mergeCell ref="V64:V75"/>
    <mergeCell ref="O28:O39"/>
    <mergeCell ref="V76:V85"/>
    <mergeCell ref="AQ76:AQ85"/>
    <mergeCell ref="V4:V15"/>
    <mergeCell ref="P1:V1"/>
    <mergeCell ref="AC28:AC39"/>
    <mergeCell ref="A1:A3"/>
    <mergeCell ref="AQ16:AQ27"/>
    <mergeCell ref="H64:H75"/>
    <mergeCell ref="AC76:AC85"/>
    <mergeCell ref="V28:V39"/>
    <mergeCell ref="AD1:AJ1"/>
    <mergeCell ref="H40:H51"/>
    <mergeCell ref="W1:AC1"/>
    <mergeCell ref="V40:V51"/>
    <mergeCell ref="O4:O15"/>
    <mergeCell ref="H52:H63"/>
    <mergeCell ref="AQ52:AQ63"/>
    <mergeCell ref="B1:H1"/>
    <mergeCell ref="AC64:AC75"/>
    <mergeCell ref="AC4:AC15"/>
    <mergeCell ref="O16:O27"/>
    <mergeCell ref="AQ4:AQ15"/>
    <mergeCell ref="AQ64:AQ75"/>
    <mergeCell ref="O64:O75"/>
    <mergeCell ref="AJ28:AJ39"/>
    <mergeCell ref="O40:O51"/>
    <mergeCell ref="AK1:AQ1"/>
    <mergeCell ref="O76:O8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Q8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</row>
    <row r="3">
      <c r="D3" s="4">
        <f>AVERAGE(D4:D85)</f>
        <v/>
      </c>
      <c r="E3" s="4">
        <f>AVERAGE(E4:E85)</f>
        <v/>
      </c>
      <c r="F3" s="4">
        <f>AVERAGE(F4:F85)</f>
        <v/>
      </c>
      <c r="G3" s="4">
        <f>AVERAGE(G4:G85)</f>
        <v/>
      </c>
      <c r="K3" s="4">
        <f>AVERAGE(K4:K85)</f>
        <v/>
      </c>
      <c r="L3" s="4">
        <f>AVERAGE(L4:L85)</f>
        <v/>
      </c>
      <c r="M3" s="4">
        <f>AVERAGE(M4:M85)</f>
        <v/>
      </c>
      <c r="N3" s="4">
        <f>AVERAGE(N4:N85)</f>
        <v/>
      </c>
      <c r="R3" s="4">
        <f>AVERAGE(R4:R85)</f>
        <v/>
      </c>
      <c r="S3" s="4">
        <f>AVERAGE(S4:S85)</f>
        <v/>
      </c>
      <c r="T3" s="4">
        <f>AVERAGE(T4:T85)</f>
        <v/>
      </c>
      <c r="U3" s="4">
        <f>AVERAGE(U4:U85)</f>
        <v/>
      </c>
      <c r="Y3" s="4">
        <f>AVERAGE(Y4:Y85)</f>
        <v/>
      </c>
      <c r="Z3" s="4">
        <f>AVERAGE(Z4:Z85)</f>
        <v/>
      </c>
      <c r="AA3" s="4">
        <f>AVERAGE(AA4:AA85)</f>
        <v/>
      </c>
      <c r="AB3" s="4">
        <f>AVERAGE(AB4:AB85)</f>
        <v/>
      </c>
      <c r="AF3" s="4">
        <f>AVERAGE(AF4:AF85)</f>
        <v/>
      </c>
      <c r="AG3" s="4">
        <f>AVERAGE(AG4:AG85)</f>
        <v/>
      </c>
      <c r="AH3" s="4">
        <f>AVERAGE(AH4:AH85)</f>
        <v/>
      </c>
      <c r="AI3" s="4">
        <f>AVERAGE(AI4:AI85)</f>
        <v/>
      </c>
      <c r="AM3" s="4">
        <f>AVERAGE(AM4:AM85)</f>
        <v/>
      </c>
      <c r="AN3" s="4">
        <f>AVERAGE(AN4:AN85)</f>
        <v/>
      </c>
      <c r="AO3" s="4">
        <f>AVERAGE(AO4:AO85)</f>
        <v/>
      </c>
      <c r="AP3" s="4">
        <f>AVERAGE(AP4:AP85)</f>
        <v/>
      </c>
    </row>
    <row r="4">
      <c r="A4" s="5" t="n">
        <v>45564</v>
      </c>
      <c r="B4" s="6" t="n">
        <v>49000</v>
      </c>
      <c r="C4" s="7" t="n">
        <v>50500.535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46863.215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50287.83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45000.71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41516.93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46798.305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</row>
    <row r="5">
      <c r="A5" s="5" t="n">
        <v>45571</v>
      </c>
      <c r="B5" s="6" t="n">
        <v>49000</v>
      </c>
      <c r="C5" s="7" t="n">
        <v>49631.42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46893.816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50480.52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46102.016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43447.68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48409.375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</row>
    <row r="6">
      <c r="A6" s="5" t="n">
        <v>45578</v>
      </c>
      <c r="B6" s="6" t="n">
        <v>49200</v>
      </c>
      <c r="C6" s="7" t="n">
        <v>49924.695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47529.99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52473.66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47963.996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44983.56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50489.24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</row>
    <row r="7">
      <c r="A7" s="5" t="n">
        <v>45585</v>
      </c>
      <c r="B7" s="6" t="n">
        <v>49200</v>
      </c>
      <c r="C7" s="7" t="n">
        <v>49843.79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48459.156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53483.023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49229.145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44854.957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50303.42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</row>
    <row r="8">
      <c r="A8" s="5" t="n">
        <v>45592</v>
      </c>
      <c r="B8" s="6" t="n">
        <v>49200</v>
      </c>
      <c r="C8" s="7" t="n">
        <v>49581.445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48441.203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54122.797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48445.883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43922.03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49824.19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</row>
    <row r="9">
      <c r="A9" s="5" t="n">
        <v>45599</v>
      </c>
      <c r="B9" s="6" t="n">
        <v>49200</v>
      </c>
      <c r="C9" s="7" t="n">
        <v>49301.53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48031.367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54553.4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47505.555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42549.434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48752.45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</row>
    <row r="10">
      <c r="A10" s="5" t="n">
        <v>45606</v>
      </c>
      <c r="B10" s="6" t="n">
        <v>49000</v>
      </c>
      <c r="C10" s="7" t="n">
        <v>49129.234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47963.176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54655.97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47268.77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42358.582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48337.395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</row>
    <row r="11">
      <c r="A11" s="5" t="n">
        <v>45613</v>
      </c>
      <c r="B11" s="6" t="n">
        <v>49000</v>
      </c>
      <c r="C11" s="7" t="n">
        <v>49014.496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48184.742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54429.4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47450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42761.492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48401.344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</row>
    <row r="12">
      <c r="A12" s="5" t="n">
        <v>45620</v>
      </c>
      <c r="B12" s="6" t="n">
        <v>49000</v>
      </c>
      <c r="C12" s="7" t="n">
        <v>49059.99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47995.52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54050.336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47900.434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42851.484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48299.152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</row>
    <row r="13">
      <c r="A13" s="5" t="n">
        <v>45627</v>
      </c>
      <c r="B13" s="6" t="n">
        <v>48500</v>
      </c>
      <c r="C13" s="7" t="n">
        <v>48870.258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47943.43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53615.555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47866.574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42368.95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47823.62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</row>
    <row r="14">
      <c r="A14" s="5" t="n">
        <v>45634</v>
      </c>
      <c r="B14" s="6" t="n">
        <v>48200</v>
      </c>
      <c r="C14" s="7" t="n">
        <v>48589.562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47731.605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53081.523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47426.098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41732.16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46997.387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</row>
    <row r="15">
      <c r="A15" s="5" t="n">
        <v>45641</v>
      </c>
      <c r="B15" s="6" t="n">
        <v>48200</v>
      </c>
      <c r="C15" s="7" t="n">
        <v>48296.625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47060.355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52902.16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47322.36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42467.42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46994.7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</row>
    <row r="16">
      <c r="A16" s="5" t="n">
        <v>45648</v>
      </c>
      <c r="B16" s="6" t="n">
        <v>48200</v>
      </c>
      <c r="C16" s="7" t="n">
        <v>48242.89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46972.496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52365.76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46670.094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42466.1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47283.582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</row>
    <row r="17">
      <c r="A17" s="5" t="n">
        <v>45655</v>
      </c>
      <c r="B17" s="6" t="n">
        <v>48100</v>
      </c>
      <c r="C17" s="7" t="n">
        <v>48210.3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46327.773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52198.887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46507.723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41966.8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47534.434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</row>
    <row r="18">
      <c r="A18" s="5" t="n">
        <v>45662</v>
      </c>
      <c r="B18" s="6" t="n">
        <v>48100</v>
      </c>
      <c r="C18" s="7" t="n">
        <v>47965.42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46645.223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52731.883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47475.348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42447.32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47085.16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</row>
    <row r="19">
      <c r="A19" s="5" t="n">
        <v>45669</v>
      </c>
      <c r="B19" s="6" t="n">
        <v>48200</v>
      </c>
      <c r="C19" s="7" t="n">
        <v>48007.258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46572.76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52444.688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47605.3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42000.508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47782.316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</row>
    <row r="20">
      <c r="A20" s="5" t="n">
        <v>45676</v>
      </c>
      <c r="B20" s="6" t="n">
        <v>48500</v>
      </c>
      <c r="C20" s="7" t="n">
        <v>48064.98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46443.227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52070.676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47785.023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42441.17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46893.55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</row>
    <row r="21">
      <c r="A21" s="5" t="n">
        <v>45683</v>
      </c>
      <c r="B21" s="6" t="n">
        <v>48400</v>
      </c>
      <c r="C21" s="7" t="n">
        <v>48461.516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46363.42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52166.266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47406.92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41692.43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46750.57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</row>
    <row r="22">
      <c r="A22" s="5" t="n">
        <v>45690</v>
      </c>
      <c r="B22" s="6" t="n">
        <v>48600</v>
      </c>
      <c r="C22" s="7" t="n">
        <v>48469.88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46973.242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52395.33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47049.8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41593.426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46636.145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</row>
    <row r="23">
      <c r="A23" s="5" t="n">
        <v>45697</v>
      </c>
      <c r="B23" s="6" t="n">
        <v>49000</v>
      </c>
      <c r="C23" s="7" t="n">
        <v>48712.98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48105.36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52675.434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46964.824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41294.68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47546.164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</row>
    <row r="24">
      <c r="A24" s="5" t="n">
        <v>45704</v>
      </c>
      <c r="B24" s="6" t="n">
        <v>49000</v>
      </c>
      <c r="C24" s="7" t="n">
        <v>49102.066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48456.566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52948.703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47125.004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41927.676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47257.527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</row>
    <row r="25">
      <c r="A25" s="5" t="n">
        <v>45711</v>
      </c>
      <c r="B25" s="6" t="n">
        <v>49000</v>
      </c>
      <c r="C25" s="7" t="n">
        <v>49171.574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48362.203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52714.01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46896.96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42023.27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47734.42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</row>
    <row r="26">
      <c r="A26" s="5" t="n">
        <v>45718</v>
      </c>
      <c r="B26" s="6" t="n">
        <v>49000</v>
      </c>
      <c r="C26" s="7" t="n">
        <v>49065.824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48287.84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53281.37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47647.996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42945.57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47429.637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</row>
    <row r="27">
      <c r="A27" s="5" t="n">
        <v>45725</v>
      </c>
      <c r="B27" s="6" t="n">
        <v>49000</v>
      </c>
      <c r="C27" s="7" t="n">
        <v>49257.062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48088.883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54872.88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48105.055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42719.69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47930.402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</row>
    <row r="28">
      <c r="A28" s="5" t="n">
        <v>45732</v>
      </c>
      <c r="B28" s="6" t="n">
        <v>49500</v>
      </c>
      <c r="C28" s="7" t="n">
        <v>49236.34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48732.875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54780.16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48620.555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43230.906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47776.484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</row>
    <row r="29">
      <c r="A29" s="5" t="n">
        <v>45739</v>
      </c>
      <c r="B29" s="6" t="n">
        <v>49600</v>
      </c>
      <c r="C29" s="7" t="n">
        <v>49637.434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49645.777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55320.625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48981.832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43135.598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47836.09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</row>
    <row r="30">
      <c r="A30" s="5" t="n">
        <v>45746</v>
      </c>
      <c r="B30" s="6" t="n">
        <v>51500</v>
      </c>
      <c r="C30" s="7" t="n">
        <v>49712.91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50648.676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56012.703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49224.87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42989.805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49347.35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</row>
    <row r="31">
      <c r="A31" s="5" t="n">
        <v>45753</v>
      </c>
      <c r="B31" s="6" t="n">
        <v>52000</v>
      </c>
      <c r="C31" s="7" t="n">
        <v>51531.773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52003.043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56813.68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48912.418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43923.9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49188.797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</row>
    <row r="32">
      <c r="A32" s="5" t="n">
        <v>45760</v>
      </c>
      <c r="B32" s="6" t="n">
        <v>51500</v>
      </c>
      <c r="C32" s="7" t="n">
        <v>52094.22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52323.867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57308.48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48763.03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44730.09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50086.04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</row>
    <row r="33">
      <c r="A33" s="5" t="n">
        <v>45767</v>
      </c>
      <c r="B33" s="6" t="n">
        <v>51500</v>
      </c>
      <c r="C33" s="7" t="n">
        <v>51360.066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51751.12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56969.734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49046.35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45583.6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49849.547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</row>
    <row r="34">
      <c r="A34" s="5" t="n">
        <v>45774</v>
      </c>
      <c r="B34" s="6" t="n">
        <v>52500</v>
      </c>
      <c r="C34" s="7" t="n">
        <v>51275.023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51247.434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56884.664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49018.28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45634.59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49361.824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</row>
    <row r="35">
      <c r="A35" s="5" t="n">
        <v>45781</v>
      </c>
      <c r="B35" s="6" t="n">
        <v>53000</v>
      </c>
      <c r="C35" s="7" t="n">
        <v>52381.805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52048.957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56841.688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49109.457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45088.957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49123.25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</row>
    <row r="36">
      <c r="A36" s="5" t="n">
        <v>45788</v>
      </c>
      <c r="B36" s="6" t="n">
        <v>53000</v>
      </c>
      <c r="C36" s="7" t="n">
        <v>52983.906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52889.062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56644.125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49435.047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44975.63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48704.707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</row>
    <row r="37">
      <c r="A37" s="5" t="n">
        <v>45795</v>
      </c>
      <c r="B37" s="6" t="n">
        <v>53300</v>
      </c>
      <c r="C37" s="7" t="n">
        <v>53317.86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52277.883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56261.953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49010.527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44539.516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48603.16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</row>
    <row r="38">
      <c r="A38" s="5" t="n">
        <v>45802</v>
      </c>
      <c r="B38" s="6" t="n">
        <v>52800</v>
      </c>
      <c r="C38" s="7" t="n">
        <v>53533.773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51716.207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55815.273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47941.434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44042.76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48602.555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</row>
    <row r="39">
      <c r="A39" s="5" t="n">
        <v>45809</v>
      </c>
      <c r="B39" s="6" t="n">
        <v>52000</v>
      </c>
      <c r="C39" s="7" t="n">
        <v>53262.11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51715.23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55256.848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47742.348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43643.54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47931.047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</row>
    <row r="40">
      <c r="A40" s="5" t="n">
        <v>45816</v>
      </c>
      <c r="B40" s="6" t="n">
        <v>52000</v>
      </c>
      <c r="C40" s="7" t="n">
        <v>52524.215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51278.477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53939.2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47390.055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43086.348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47512.016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</row>
    <row r="41">
      <c r="A41" s="5" t="n">
        <v>45823</v>
      </c>
      <c r="B41" s="6" t="n">
        <v>52000</v>
      </c>
      <c r="C41" s="7" t="n">
        <v>52139.05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51275.684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52669.832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46690.133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42864.43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47153.145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</row>
    <row r="42">
      <c r="A42" s="5" t="n">
        <v>45830</v>
      </c>
      <c r="B42" s="6" t="n">
        <v>52000</v>
      </c>
      <c r="C42" s="7" t="n">
        <v>51811.805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50988.74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51183.43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46116.83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41854.89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46392.58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</row>
    <row r="43">
      <c r="A43" s="5" t="n">
        <v>45837</v>
      </c>
      <c r="B43" s="6" t="n">
        <v>51900</v>
      </c>
      <c r="C43" s="7" t="n">
        <v>51669.07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50670.832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50089.992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45142.156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41401.777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45796.125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</row>
    <row r="44">
      <c r="A44" s="5" t="n">
        <v>45844</v>
      </c>
      <c r="B44" s="6" t="n">
        <v>51600</v>
      </c>
      <c r="C44" s="7" t="n">
        <v>51723.87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50734.133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49451.453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44160.93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41010.707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45304.082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</row>
    <row r="45">
      <c r="A45" s="5" t="n">
        <v>45851</v>
      </c>
      <c r="B45" s="6" t="n">
        <v>51000</v>
      </c>
      <c r="C45" s="7" t="n">
        <v>51629.46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50208.11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48695.902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43852.242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40332.13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44985.94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</row>
    <row r="46">
      <c r="A46" s="5" t="n">
        <v>45858</v>
      </c>
      <c r="B46" s="6" t="n">
        <v>50500</v>
      </c>
      <c r="C46" s="7" t="n">
        <v>51059.438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49424.977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48040.555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43396.387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39391.164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45352.93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</row>
    <row r="47">
      <c r="A47" s="5" t="n">
        <v>45865</v>
      </c>
      <c r="B47" s="6" t="n">
        <v>50000</v>
      </c>
      <c r="C47" s="7" t="n">
        <v>50656.312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49046.438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47328.5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43007.348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39189.77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44922.574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</row>
    <row r="48">
      <c r="A48" s="5" t="n">
        <v>45872</v>
      </c>
      <c r="B48" s="6" t="n">
        <v>50000</v>
      </c>
      <c r="C48" s="7" t="n">
        <v>50177.816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48626.734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48088.434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42957.816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38901.473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45509.15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</row>
    <row r="49">
      <c r="A49" s="5" t="n">
        <v>45879</v>
      </c>
      <c r="B49" s="6" t="n">
        <v>50300</v>
      </c>
      <c r="C49" s="7" t="n">
        <v>50004.312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49387.355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49272.445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43487.605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40191.113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45960.14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</row>
    <row r="50">
      <c r="A50" s="5" t="n">
        <v>45886</v>
      </c>
      <c r="B50" s="6" t="n">
        <v>50500</v>
      </c>
      <c r="C50" s="7" t="n">
        <v>50292.37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50337.05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48597.547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44532.348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40234.203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46125.54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</row>
    <row r="51">
      <c r="A51" s="5" t="n">
        <v>45893</v>
      </c>
      <c r="B51" s="6" t="n">
        <v>50500</v>
      </c>
      <c r="C51" s="7" t="n">
        <v>50498.19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49872.504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48066.598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45535.65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39811.81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45857.938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</row>
    <row r="52">
      <c r="A52" s="5" t="n">
        <v>45900</v>
      </c>
      <c r="B52" s="6" t="n">
        <v>50700</v>
      </c>
      <c r="C52" s="7" t="n">
        <v>50461.96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49870.36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47707.633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45682.934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39804.457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45701.55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</row>
    <row r="53">
      <c r="A53" s="5" t="n">
        <v>45907</v>
      </c>
      <c r="B53" s="6" t="n">
        <v>50800</v>
      </c>
      <c r="C53" s="7" t="n">
        <v>50948.094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49575.215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47675.63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45379.156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39940.3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45198.06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</row>
    <row r="54">
      <c r="A54" s="5" t="n">
        <v>45914</v>
      </c>
      <c r="B54" s="6" t="n">
        <v>50500</v>
      </c>
      <c r="C54" s="7" t="n">
        <v>51161.47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49449.51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47404.344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44702.6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39513.34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44877.59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</row>
    <row r="55">
      <c r="A55" s="5" t="n">
        <v>45921</v>
      </c>
      <c r="B55" s="6" t="n">
        <v>50000</v>
      </c>
      <c r="C55" s="7" t="n">
        <v>50844.64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49303.37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47039.37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44648.77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39455.613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45405.992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</row>
    <row r="56">
      <c r="A56" s="5" t="n">
        <v>45928</v>
      </c>
      <c r="B56" s="6" t="n">
        <v>50000</v>
      </c>
      <c r="C56" s="7" t="n">
        <v>50374.81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49141.02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47015.07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44290.438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39782.688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44946.77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</row>
    <row r="57">
      <c r="A57" s="5" t="n">
        <v>45935</v>
      </c>
      <c r="B57" s="6" t="n">
        <v>50000</v>
      </c>
      <c r="C57" s="7" t="n">
        <v>50007.766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48923.477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47283.445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44466.582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39601.656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44897.95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</row>
    <row r="58">
      <c r="A58" s="5" t="n">
        <v>45942</v>
      </c>
      <c r="B58" s="6" t="n">
        <v>49800</v>
      </c>
      <c r="C58" s="7" t="n">
        <v>49834.527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48395.344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47166.61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43960.617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39744.16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44471.402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</row>
    <row r="59">
      <c r="A59" s="5" t="n">
        <v>45949</v>
      </c>
      <c r="B59" s="6" t="n">
        <v>49000</v>
      </c>
      <c r="C59" s="7" t="n">
        <v>49760.42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48235.23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46882.832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43352.61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39314.61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43973.508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</row>
    <row r="60">
      <c r="A60" s="5" t="n">
        <v>45956</v>
      </c>
      <c r="B60" s="6" t="n">
        <v>49000</v>
      </c>
      <c r="C60" s="7" t="n">
        <v>48993.367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47679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46948.984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42940.7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38952.484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43314.734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</row>
    <row r="61">
      <c r="A61" s="5" t="n">
        <v>45963</v>
      </c>
      <c r="B61" s="6" t="n">
        <v>49000</v>
      </c>
      <c r="C61" s="7" t="n">
        <v>49009.38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47756.074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47591.496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42511.312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38369.855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42880.383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</row>
    <row r="62">
      <c r="A62" s="5" t="n">
        <v>45970</v>
      </c>
      <c r="B62" s="6" t="n">
        <v>49600</v>
      </c>
      <c r="C62" s="7" t="n">
        <v>48994.82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47132.51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48115.58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41675.836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37815.36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43062.785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</row>
    <row r="63">
      <c r="A63" s="5" t="n">
        <v>45977</v>
      </c>
      <c r="B63" s="6" t="n">
        <v>49600</v>
      </c>
      <c r="C63" s="7" t="n">
        <v>49683.64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47590.246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47420.5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41807.004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37786.508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42920.62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</row>
    <row r="64">
      <c r="A64" s="5" t="n">
        <v>45984</v>
      </c>
      <c r="B64" s="6" t="n">
        <v>49000</v>
      </c>
      <c r="C64" s="7" t="n">
        <v>49569.87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47028.56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46559.277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43281.477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38021.492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43070.656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</row>
    <row r="65">
      <c r="A65" s="5" t="n">
        <v>45991</v>
      </c>
      <c r="B65" s="6" t="n">
        <v>48600</v>
      </c>
      <c r="C65" s="7" t="n">
        <v>48895.645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46328.547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46215.188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42673.58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38078.188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43349.867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</row>
    <row r="66">
      <c r="A66" s="5" t="n">
        <v>45998</v>
      </c>
      <c r="B66" s="6" t="n">
        <v>46700</v>
      </c>
      <c r="C66" s="7" t="n">
        <v>48457.09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46087.84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47115.875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42748.74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38469.508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43959.91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</row>
    <row r="67">
      <c r="A67" s="5" t="n">
        <v>46005</v>
      </c>
      <c r="B67" s="6" t="n">
        <v>46800</v>
      </c>
      <c r="C67" s="7" t="n">
        <v>46664.723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45738.867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47641.816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42897.51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38738.656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44653.4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</row>
    <row r="68">
      <c r="A68" s="5" t="n">
        <v>46012</v>
      </c>
      <c r="B68" s="6" t="n">
        <v>46800</v>
      </c>
      <c r="C68" s="7" t="n">
        <v>46588.508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45916.098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47658.98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44148.12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39350.14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44272.938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</row>
    <row r="69">
      <c r="A69" s="5" t="n">
        <v>46019</v>
      </c>
      <c r="B69" s="6" t="n">
        <v>48000</v>
      </c>
      <c r="C69" s="7" t="n">
        <v>46679.848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47066.77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49463.055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44891.875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39279.8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45012.95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</row>
    <row r="70">
      <c r="A70" s="5" t="n">
        <v>46026</v>
      </c>
      <c r="B70" s="6" t="n">
        <v>50400</v>
      </c>
      <c r="C70" s="7" t="n">
        <v>47981.734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49190.805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51850.805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45214.34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39733.254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45961.453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</row>
    <row r="71">
      <c r="A71" s="5" t="n">
        <v>46033</v>
      </c>
      <c r="B71" s="6" t="n">
        <v>51400</v>
      </c>
      <c r="C71" s="7" t="n">
        <v>50277.387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51593.51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53044.086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48906.42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43953.746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49747.227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</row>
    <row r="72">
      <c r="A72" s="5" t="n">
        <v>46040</v>
      </c>
      <c r="B72" s="6" t="n">
        <v>52000</v>
      </c>
      <c r="C72" s="7" t="n">
        <v>51750.31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51016.95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54446.3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48806.5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43280.867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48552.508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</row>
    <row r="73">
      <c r="A73" s="5" t="n">
        <v>46047</v>
      </c>
      <c r="B73" s="6" t="n">
        <v>53000</v>
      </c>
      <c r="C73" s="7" t="n">
        <v>52613.453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52115.17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56227.06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49125.62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43293.88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48567.742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</row>
    <row r="74">
      <c r="A74" s="5" t="n">
        <v>46054</v>
      </c>
      <c r="B74" s="6" t="n">
        <v>53400</v>
      </c>
      <c r="C74" s="7" t="n">
        <v>53380.145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52623.395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57625.395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50176.324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43895.695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49502.47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</row>
    <row r="75">
      <c r="A75" s="5" t="n">
        <v>46061</v>
      </c>
      <c r="B75" s="6" t="n">
        <v>55100</v>
      </c>
      <c r="C75" s="7" t="n">
        <v>53769.8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53549.4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58738.953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50570.78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43721.383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49279.26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</row>
    <row r="76">
      <c r="A76" s="5" t="n">
        <v>46068</v>
      </c>
      <c r="B76" s="6" t="n">
        <v>55200</v>
      </c>
      <c r="C76" s="7" t="n">
        <v>55057.68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COUNTIF(G76:G85,1)&amp;"/"&amp;COUNT(G76:G85)</f>
        <v/>
      </c>
      <c r="I76" s="6" t="n">
        <v>53650</v>
      </c>
      <c r="J76" s="7" t="n">
        <v>53877.27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COUNTIF(N76:N85,1)&amp;"/"&amp;COUNT(N76:N85)</f>
        <v/>
      </c>
      <c r="P76" s="6" t="n">
        <v>58900</v>
      </c>
      <c r="Q76" s="7" t="n">
        <v>59031.633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COUNTIF(U76:U85,1)&amp;"/"&amp;COUNT(U76:U85)</f>
        <v/>
      </c>
      <c r="W76" s="6" t="n">
        <v>50000</v>
      </c>
      <c r="X76" s="7" t="n">
        <v>50398.62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COUNTIF(AB76:AB85,1)&amp;"/"&amp;COUNT(AB76:AB85)</f>
        <v/>
      </c>
      <c r="AD76" s="6" t="n">
        <v>45266.67</v>
      </c>
      <c r="AE76" s="7" t="n">
        <v>44506.883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COUNTIF(AI76:AI85,1)&amp;"/"&amp;COUNT(AI76:AI85)</f>
        <v/>
      </c>
      <c r="AK76" s="6" t="n">
        <v>49800</v>
      </c>
      <c r="AL76" s="7" t="n">
        <v>49204.45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COUNTIF(AP76:AP85,1)&amp;"/"&amp;COUNT(AP76:AP85)</f>
        <v/>
      </c>
    </row>
    <row r="77">
      <c r="A77" s="5" t="n">
        <v>46075</v>
      </c>
      <c r="B77" s="6" t="n">
        <v>54600</v>
      </c>
      <c r="C77" s="7" t="n">
        <v>55149.504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53545.754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59394.242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50387.207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45569.094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49421.723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</row>
    <row r="78">
      <c r="A78" s="5" t="n">
        <v>46082</v>
      </c>
      <c r="B78" s="6" t="n">
        <v>54000</v>
      </c>
      <c r="C78" s="7" t="n">
        <v>54931.266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53720.832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59424.414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49540.555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44689.773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48810.973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</row>
    <row r="79">
      <c r="A79" s="5" t="n">
        <v>46089</v>
      </c>
      <c r="B79" s="6" t="n">
        <v>54400</v>
      </c>
      <c r="C79" s="7" t="n">
        <v>54002.883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53899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59223.29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49420.305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43819.242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48380.16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</row>
    <row r="80">
      <c r="A80" s="5" t="n">
        <v>46096</v>
      </c>
      <c r="B80" s="6" t="n">
        <v>55600</v>
      </c>
      <c r="C80" s="7" t="n">
        <v>54208.566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54952.95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59902.418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50664.613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46047.598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50314.883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</row>
    <row r="81">
      <c r="A81" s="5" t="n">
        <v>46103</v>
      </c>
      <c r="B81" s="6" t="n">
        <v>56900</v>
      </c>
      <c r="C81" s="7" t="n">
        <v>55341.508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55956.668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60084.082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51412.48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46267.875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50120.77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</row>
    <row r="82">
      <c r="A82" s="5" t="n">
        <v>46110</v>
      </c>
      <c r="B82" s="6" t="n">
        <v>58200</v>
      </c>
      <c r="C82" s="7" t="n">
        <v>56188.61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56770.465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60231.637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51050.1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46102.758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49804.4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</row>
    <row r="83">
      <c r="A83" s="5" t="n">
        <v>46117</v>
      </c>
      <c r="B83" s="6" t="n">
        <v>59100</v>
      </c>
      <c r="C83" s="7" t="n">
        <v>57581.19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57730.617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60463.836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50601.977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45729.504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49606.99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</row>
    <row r="84">
      <c r="A84" s="5" t="n">
        <v>46124</v>
      </c>
      <c r="B84" s="6" t="n">
        <v>59500</v>
      </c>
      <c r="C84" s="7" t="n">
        <v>58499.66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59773.31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60897.51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52797.934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47931.508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51367.45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</row>
    <row r="85">
      <c r="A85" s="5" t="n">
        <v>46131</v>
      </c>
      <c r="B85" s="6" t="n">
        <v>59500</v>
      </c>
      <c r="C85" s="7" t="n">
        <v>59219.203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59536.875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61079.613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54295.41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48402.07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52642.93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</row>
  </sheetData>
  <mergeCells count="49">
    <mergeCell ref="AC40:AC51"/>
    <mergeCell ref="I1:O1"/>
    <mergeCell ref="O52:O63"/>
    <mergeCell ref="H16:H27"/>
    <mergeCell ref="AJ64:AJ75"/>
    <mergeCell ref="V16:V27"/>
    <mergeCell ref="H28:H39"/>
    <mergeCell ref="AC52:AC63"/>
    <mergeCell ref="AJ76:AJ85"/>
    <mergeCell ref="H76:H85"/>
    <mergeCell ref="AQ28:AQ39"/>
    <mergeCell ref="AQ40:AQ51"/>
    <mergeCell ref="AJ4:AJ15"/>
    <mergeCell ref="AJ40:AJ51"/>
    <mergeCell ref="V52:V63"/>
    <mergeCell ref="H4:H15"/>
    <mergeCell ref="AJ16:AJ27"/>
    <mergeCell ref="AJ52:AJ63"/>
    <mergeCell ref="AC16:AC27"/>
    <mergeCell ref="V64:V75"/>
    <mergeCell ref="O28:O39"/>
    <mergeCell ref="V76:V85"/>
    <mergeCell ref="AQ76:AQ85"/>
    <mergeCell ref="V4:V15"/>
    <mergeCell ref="P1:V1"/>
    <mergeCell ref="AC28:AC39"/>
    <mergeCell ref="A1:A3"/>
    <mergeCell ref="AQ16:AQ27"/>
    <mergeCell ref="H64:H75"/>
    <mergeCell ref="AC76:AC85"/>
    <mergeCell ref="V28:V39"/>
    <mergeCell ref="AD1:AJ1"/>
    <mergeCell ref="H40:H51"/>
    <mergeCell ref="W1:AC1"/>
    <mergeCell ref="V40:V51"/>
    <mergeCell ref="O4:O15"/>
    <mergeCell ref="H52:H63"/>
    <mergeCell ref="AQ52:AQ63"/>
    <mergeCell ref="B1:H1"/>
    <mergeCell ref="AC64:AC75"/>
    <mergeCell ref="AC4:AC15"/>
    <mergeCell ref="O16:O27"/>
    <mergeCell ref="AQ4:AQ15"/>
    <mergeCell ref="AQ64:AQ75"/>
    <mergeCell ref="O64:O75"/>
    <mergeCell ref="AJ28:AJ39"/>
    <mergeCell ref="O40:O51"/>
    <mergeCell ref="AK1:AQ1"/>
    <mergeCell ref="O76:O8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Q8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1" t="inlineStr">
        <is>
          <t>Date</t>
        </is>
      </c>
      <c r="B1" s="2" t="inlineStr">
        <is>
          <t>HR PLATE</t>
        </is>
      </c>
      <c r="I1" s="2" t="inlineStr">
        <is>
          <t>HRC</t>
        </is>
      </c>
      <c r="P1" s="2" t="inlineStr">
        <is>
          <t>REBAR BF MUMBAI</t>
        </is>
      </c>
      <c r="W1" s="2" t="inlineStr">
        <is>
          <t>REBAR IF MUMBAI</t>
        </is>
      </c>
      <c r="AD1" s="2" t="inlineStr">
        <is>
          <t>REBAR IF RAIPUR</t>
        </is>
      </c>
      <c r="AK1" s="2" t="inlineStr">
        <is>
          <t>STRUCTURE IF RAIPUR</t>
        </is>
      </c>
    </row>
    <row r="2">
      <c r="B2" s="3" t="inlineStr">
        <is>
          <t>Actual (₹/ton)</t>
        </is>
      </c>
      <c r="C2" s="3" t="inlineStr">
        <is>
          <t>Forecast (₹/ton)</t>
        </is>
      </c>
      <c r="D2" s="3" t="inlineStr">
        <is>
          <t>MAE</t>
        </is>
      </c>
      <c r="E2" s="3" t="inlineStr">
        <is>
          <t>MAPA (%)</t>
        </is>
      </c>
      <c r="F2" s="3" t="inlineStr">
        <is>
          <t>Delta (%)</t>
        </is>
      </c>
      <c r="G2" s="3" t="inlineStr">
        <is>
          <t>Directional (%)</t>
        </is>
      </c>
      <c r="H2" s="3" t="inlineStr">
        <is>
          <t>*Directional Ratio</t>
        </is>
      </c>
      <c r="I2" s="3" t="inlineStr">
        <is>
          <t>Actual (₹/ton)</t>
        </is>
      </c>
      <c r="J2" s="3" t="inlineStr">
        <is>
          <t>Forecast (₹/ton)</t>
        </is>
      </c>
      <c r="K2" s="3" t="inlineStr">
        <is>
          <t>MAE</t>
        </is>
      </c>
      <c r="L2" s="3" t="inlineStr">
        <is>
          <t>MAPA (%)</t>
        </is>
      </c>
      <c r="M2" s="3" t="inlineStr">
        <is>
          <t>Delta (%)</t>
        </is>
      </c>
      <c r="N2" s="3" t="inlineStr">
        <is>
          <t>Directional (%)</t>
        </is>
      </c>
      <c r="O2" s="3" t="inlineStr">
        <is>
          <t>*Directional Ratio</t>
        </is>
      </c>
      <c r="P2" s="3" t="inlineStr">
        <is>
          <t>Actual (₹/ton)</t>
        </is>
      </c>
      <c r="Q2" s="3" t="inlineStr">
        <is>
          <t>Forecast (₹/ton)</t>
        </is>
      </c>
      <c r="R2" s="3" t="inlineStr">
        <is>
          <t>MAE</t>
        </is>
      </c>
      <c r="S2" s="3" t="inlineStr">
        <is>
          <t>MAPA (%)</t>
        </is>
      </c>
      <c r="T2" s="3" t="inlineStr">
        <is>
          <t>Delta (%)</t>
        </is>
      </c>
      <c r="U2" s="3" t="inlineStr">
        <is>
          <t>Directional (%)</t>
        </is>
      </c>
      <c r="V2" s="3" t="inlineStr">
        <is>
          <t>*Directional Ratio</t>
        </is>
      </c>
      <c r="W2" s="3" t="inlineStr">
        <is>
          <t>Actual (₹/ton)</t>
        </is>
      </c>
      <c r="X2" s="3" t="inlineStr">
        <is>
          <t>Forecast (₹/ton)</t>
        </is>
      </c>
      <c r="Y2" s="3" t="inlineStr">
        <is>
          <t>MAE</t>
        </is>
      </c>
      <c r="Z2" s="3" t="inlineStr">
        <is>
          <t>MAPA (%)</t>
        </is>
      </c>
      <c r="AA2" s="3" t="inlineStr">
        <is>
          <t>Delta (%)</t>
        </is>
      </c>
      <c r="AB2" s="3" t="inlineStr">
        <is>
          <t>Directional (%)</t>
        </is>
      </c>
      <c r="AC2" s="3" t="inlineStr">
        <is>
          <t>*Directional Ratio</t>
        </is>
      </c>
      <c r="AD2" s="3" t="inlineStr">
        <is>
          <t>Actual (₹/ton)</t>
        </is>
      </c>
      <c r="AE2" s="3" t="inlineStr">
        <is>
          <t>Forecast (₹/ton)</t>
        </is>
      </c>
      <c r="AF2" s="3" t="inlineStr">
        <is>
          <t>MAE</t>
        </is>
      </c>
      <c r="AG2" s="3" t="inlineStr">
        <is>
          <t>MAPA (%)</t>
        </is>
      </c>
      <c r="AH2" s="3" t="inlineStr">
        <is>
          <t>Delta (%)</t>
        </is>
      </c>
      <c r="AI2" s="3" t="inlineStr">
        <is>
          <t>Directional (%)</t>
        </is>
      </c>
      <c r="AJ2" s="3" t="inlineStr">
        <is>
          <t>*Directional Ratio</t>
        </is>
      </c>
      <c r="AK2" s="3" t="inlineStr">
        <is>
          <t>Actual (₹/ton)</t>
        </is>
      </c>
      <c r="AL2" s="3" t="inlineStr">
        <is>
          <t>Forecast (₹/ton)</t>
        </is>
      </c>
      <c r="AM2" s="3" t="inlineStr">
        <is>
          <t>MAE</t>
        </is>
      </c>
      <c r="AN2" s="3" t="inlineStr">
        <is>
          <t>MAPA (%)</t>
        </is>
      </c>
      <c r="AO2" s="3" t="inlineStr">
        <is>
          <t>Delta (%)</t>
        </is>
      </c>
      <c r="AP2" s="3" t="inlineStr">
        <is>
          <t>Directional (%)</t>
        </is>
      </c>
      <c r="AQ2" s="3" t="inlineStr">
        <is>
          <t>*Directional Ratio</t>
        </is>
      </c>
    </row>
    <row r="3">
      <c r="D3" s="4">
        <f>AVERAGE(D4:D85)</f>
        <v/>
      </c>
      <c r="E3" s="4">
        <f>AVERAGE(E4:E85)</f>
        <v/>
      </c>
      <c r="F3" s="4">
        <f>AVERAGE(F4:F85)</f>
        <v/>
      </c>
      <c r="G3" s="4">
        <f>AVERAGE(G4:G85)</f>
        <v/>
      </c>
      <c r="K3" s="4">
        <f>AVERAGE(K4:K85)</f>
        <v/>
      </c>
      <c r="L3" s="4">
        <f>AVERAGE(L4:L85)</f>
        <v/>
      </c>
      <c r="M3" s="4">
        <f>AVERAGE(M4:M85)</f>
        <v/>
      </c>
      <c r="N3" s="4">
        <f>AVERAGE(N4:N85)</f>
        <v/>
      </c>
      <c r="R3" s="4">
        <f>AVERAGE(R4:R85)</f>
        <v/>
      </c>
      <c r="S3" s="4">
        <f>AVERAGE(S4:S85)</f>
        <v/>
      </c>
      <c r="T3" s="4">
        <f>AVERAGE(T4:T85)</f>
        <v/>
      </c>
      <c r="U3" s="4">
        <f>AVERAGE(U4:U85)</f>
        <v/>
      </c>
      <c r="Y3" s="4">
        <f>AVERAGE(Y4:Y85)</f>
        <v/>
      </c>
      <c r="Z3" s="4">
        <f>AVERAGE(Z4:Z85)</f>
        <v/>
      </c>
      <c r="AA3" s="4">
        <f>AVERAGE(AA4:AA85)</f>
        <v/>
      </c>
      <c r="AB3" s="4">
        <f>AVERAGE(AB4:AB85)</f>
        <v/>
      </c>
      <c r="AF3" s="4">
        <f>AVERAGE(AF4:AF85)</f>
        <v/>
      </c>
      <c r="AG3" s="4">
        <f>AVERAGE(AG4:AG85)</f>
        <v/>
      </c>
      <c r="AH3" s="4">
        <f>AVERAGE(AH4:AH85)</f>
        <v/>
      </c>
      <c r="AI3" s="4">
        <f>AVERAGE(AI4:AI85)</f>
        <v/>
      </c>
      <c r="AM3" s="4">
        <f>AVERAGE(AM4:AM85)</f>
        <v/>
      </c>
      <c r="AN3" s="4">
        <f>AVERAGE(AN4:AN85)</f>
        <v/>
      </c>
      <c r="AO3" s="4">
        <f>AVERAGE(AO4:AO85)</f>
        <v/>
      </c>
      <c r="AP3" s="4">
        <f>AVERAGE(AP4:AP85)</f>
        <v/>
      </c>
    </row>
    <row r="4">
      <c r="A4" s="5" t="n">
        <v>45564</v>
      </c>
      <c r="B4" s="6" t="n">
        <v>49000</v>
      </c>
      <c r="C4" s="7" t="n">
        <v>50870.156</v>
      </c>
      <c r="D4">
        <f>ABS(B4-C4)</f>
        <v/>
      </c>
      <c r="E4" s="8">
        <f>IF(B4=0,"-",1-ABS(B4-C4)/B4)</f>
        <v/>
      </c>
      <c r="H4" s="9">
        <f>COUNTIF(G4:G15,1)&amp;"/"&amp;COUNT(G4:G15)</f>
        <v/>
      </c>
      <c r="I4" s="6" t="n">
        <v>47050</v>
      </c>
      <c r="J4" s="7" t="n">
        <v>46798.977</v>
      </c>
      <c r="K4">
        <f>ABS(I4-J4)</f>
        <v/>
      </c>
      <c r="L4" s="8">
        <f>IF(I4=0,"-",1-ABS(I4-J4)/I4)</f>
        <v/>
      </c>
      <c r="O4" s="9">
        <f>COUNTIF(N4:N15,1)&amp;"/"&amp;COUNT(N4:N15)</f>
        <v/>
      </c>
      <c r="P4" s="6" t="n">
        <v>50500</v>
      </c>
      <c r="Q4" s="7" t="n">
        <v>50310.746</v>
      </c>
      <c r="R4">
        <f>ABS(P4-Q4)</f>
        <v/>
      </c>
      <c r="S4" s="8">
        <f>IF(P4=0,"-",1-ABS(P4-Q4)/P4)</f>
        <v/>
      </c>
      <c r="V4" s="9">
        <f>COUNTIF(U4:U15,1)&amp;"/"&amp;COUNT(U4:U15)</f>
        <v/>
      </c>
      <c r="W4" s="6" t="n">
        <v>46183.33</v>
      </c>
      <c r="X4" s="7" t="n">
        <v>45134.523</v>
      </c>
      <c r="Y4">
        <f>ABS(W4-X4)</f>
        <v/>
      </c>
      <c r="Z4" s="8">
        <f>IF(W4=0,"-",1-ABS(W4-X4)/W4)</f>
        <v/>
      </c>
      <c r="AC4" s="9">
        <f>COUNTIF(AB4:AB15,1)&amp;"/"&amp;COUNT(AB4:AB15)</f>
        <v/>
      </c>
      <c r="AD4" s="6" t="n">
        <v>43783.33</v>
      </c>
      <c r="AE4" s="7" t="n">
        <v>41479.273</v>
      </c>
      <c r="AF4">
        <f>ABS(AD4-AE4)</f>
        <v/>
      </c>
      <c r="AG4" s="8">
        <f>IF(AD4=0,"-",1-ABS(AD4-AE4)/AD4)</f>
        <v/>
      </c>
      <c r="AJ4" s="9">
        <f>COUNTIF(AI4:AI15,1)&amp;"/"&amp;COUNT(AI4:AI15)</f>
        <v/>
      </c>
      <c r="AK4" s="6" t="n">
        <v>48700</v>
      </c>
      <c r="AL4" s="7" t="n">
        <v>47058.52</v>
      </c>
      <c r="AM4">
        <f>ABS(AK4-AL4)</f>
        <v/>
      </c>
      <c r="AN4" s="8">
        <f>IF(AK4=0,"-",1-ABS(AK4-AL4)/AK4)</f>
        <v/>
      </c>
      <c r="AQ4" s="9">
        <f>COUNTIF(AP4:AP15,1)&amp;"/"&amp;COUNT(AP4:AP15)</f>
        <v/>
      </c>
    </row>
    <row r="5">
      <c r="A5" s="5" t="n">
        <v>45571</v>
      </c>
      <c r="B5" s="6" t="n">
        <v>49000</v>
      </c>
      <c r="C5" s="7" t="n">
        <v>49837.613</v>
      </c>
      <c r="D5">
        <f>ABS(B5-C5)</f>
        <v/>
      </c>
      <c r="E5" s="8">
        <f>IF(B5=0,"-",1-ABS(B5-C5)/B5)</f>
        <v/>
      </c>
      <c r="F5">
        <f>IF((C5-B4)&gt;=500,IF(ABS((B5-B4))&lt;500,"",IF((B5-B4)&lt;0,-ABS((B5-B4)/(C5-B4)),MIN(1,ABS((B5-B4)/(C5-B4))))),IF((C5-B4)&lt;=-500,IF(ABS((B5-B4))&lt;500,"",IF((B5-B4)&gt;0,-ABS((B5-B4)/(C5-B4)),MIN(1,ABS((B5-B4)/(C5-B4))))),IF(ABS((B5-B4))&lt;500,1,MIN(1,500/ABS((B5-B4))))))</f>
        <v/>
      </c>
      <c r="G5">
        <f>IF(AND(ABS((B5-B4))&lt;500,ABS((C5-B4))&lt;500),1,IF(AND(ABS((B5-B4))&lt;500,ABS((C5-B4))&gt;=500),0,IF((B5-B4)*(C5-B4)&gt;0,1,0)))</f>
        <v/>
      </c>
      <c r="I5" s="6" t="n">
        <v>47700</v>
      </c>
      <c r="J5" s="7" t="n">
        <v>46932.414</v>
      </c>
      <c r="K5">
        <f>ABS(I5-J5)</f>
        <v/>
      </c>
      <c r="L5" s="8">
        <f>IF(I5=0,"-",1-ABS(I5-J5)/I5)</f>
        <v/>
      </c>
      <c r="M5">
        <f>IF((J5-I4)&gt;=500,IF(ABS((I5-I4))&lt;500,"",IF((I5-I4)&lt;0,-ABS((I5-I4)/(J5-I4)),MIN(1,ABS((I5-I4)/(J5-I4))))),IF((J5-I4)&lt;=-500,IF(ABS((I5-I4))&lt;500,"",IF((I5-I4)&gt;0,-ABS((I5-I4)/(J5-I4)),MIN(1,ABS((I5-I4)/(J5-I4))))),IF(ABS((I5-I4))&lt;500,1,MIN(1,500/ABS((I5-I4))))))</f>
        <v/>
      </c>
      <c r="N5">
        <f>IF(AND(ABS((I5-I4))&lt;500,ABS((J5-I4))&lt;500),1,IF(AND(ABS((I5-I4))&lt;500,ABS((J5-I4))&gt;=500),0,IF((I5-I4)*(J5-I4)&gt;0,1,0)))</f>
        <v/>
      </c>
      <c r="P5" s="6" t="n">
        <v>52400</v>
      </c>
      <c r="Q5" s="7" t="n">
        <v>50630.98</v>
      </c>
      <c r="R5">
        <f>ABS(P5-Q5)</f>
        <v/>
      </c>
      <c r="S5" s="8">
        <f>IF(P5=0,"-",1-ABS(P5-Q5)/P5)</f>
        <v/>
      </c>
      <c r="T5">
        <f>IF((Q5-P4)&gt;=500,IF(ABS((P5-P4))&lt;500,"",IF((P5-P4)&lt;0,-ABS((P5-P4)/(Q5-P4)),MIN(1,ABS((P5-P4)/(Q5-P4))))),IF((Q5-P4)&lt;=-500,IF(ABS((P5-P4))&lt;500,"",IF((P5-P4)&gt;0,-ABS((P5-P4)/(Q5-P4)),MIN(1,ABS((P5-P4)/(Q5-P4))))),IF(ABS((P5-P4))&lt;500,1,MIN(1,500/ABS((P5-P4))))))</f>
        <v/>
      </c>
      <c r="U5">
        <f>IF(AND(ABS((P5-P4))&lt;500,ABS((Q5-P4))&lt;500),1,IF(AND(ABS((P5-P4))&lt;500,ABS((Q5-P4))&gt;=500),0,IF((P5-P4)*(Q5-P4)&gt;0,1,0)))</f>
        <v/>
      </c>
      <c r="W5" s="6" t="n">
        <v>48020</v>
      </c>
      <c r="X5" s="7" t="n">
        <v>46063.035</v>
      </c>
      <c r="Y5">
        <f>ABS(W5-X5)</f>
        <v/>
      </c>
      <c r="Z5" s="8">
        <f>IF(W5=0,"-",1-ABS(W5-X5)/W5)</f>
        <v/>
      </c>
      <c r="AA5">
        <f>IF((X5-W4)&gt;=500,IF(ABS((W5-W4))&lt;500,"",IF((W5-W4)&lt;0,-ABS((W5-W4)/(X5-W4)),MIN(1,ABS((W5-W4)/(X5-W4))))),IF((X5-W4)&lt;=-500,IF(ABS((W5-W4))&lt;500,"",IF((W5-W4)&gt;0,-ABS((W5-W4)/(X5-W4)),MIN(1,ABS((W5-W4)/(X5-W4))))),IF(ABS((W5-W4))&lt;500,1,MIN(1,500/ABS((W5-W4))))))</f>
        <v/>
      </c>
      <c r="AB5">
        <f>IF(AND(ABS((W5-W4))&lt;500,ABS((X5-W4))&lt;500),1,IF(AND(ABS((W5-W4))&lt;500,ABS((X5-W4))&gt;=500),0,IF((W5-W4)*(X5-W4)&gt;0,1,0)))</f>
        <v/>
      </c>
      <c r="AD5" s="6" t="n">
        <v>45600</v>
      </c>
      <c r="AE5" s="7" t="n">
        <v>43649.9</v>
      </c>
      <c r="AF5">
        <f>ABS(AD5-AE5)</f>
        <v/>
      </c>
      <c r="AG5" s="8">
        <f>IF(AD5=0,"-",1-ABS(AD5-AE5)/AD5)</f>
        <v/>
      </c>
      <c r="AH5">
        <f>IF((AE5-AD4)&gt;=500,IF(ABS((AD5-AD4))&lt;500,"",IF((AD5-AD4)&lt;0,-ABS((AD5-AD4)/(AE5-AD4)),MIN(1,ABS((AD5-AD4)/(AE5-AD4))))),IF((AE5-AD4)&lt;=-500,IF(ABS((AD5-AD4))&lt;500,"",IF((AD5-AD4)&gt;0,-ABS((AD5-AD4)/(AE5-AD4)),MIN(1,ABS((AD5-AD4)/(AE5-AD4))))),IF(ABS((AD5-AD4))&lt;500,1,MIN(1,500/ABS((AD5-AD4))))))</f>
        <v/>
      </c>
      <c r="AI5">
        <f>IF(AND(ABS((AD5-AD4))&lt;500,ABS((AE5-AD4))&lt;500),1,IF(AND(ABS((AD5-AD4))&lt;500,ABS((AE5-AD4))&gt;=500),0,IF((AD5-AD4)*(AE5-AD4)&gt;0,1,0)))</f>
        <v/>
      </c>
      <c r="AK5" s="6" t="n">
        <v>50540</v>
      </c>
      <c r="AL5" s="7" t="n">
        <v>48665.727</v>
      </c>
      <c r="AM5">
        <f>ABS(AK5-AL5)</f>
        <v/>
      </c>
      <c r="AN5" s="8">
        <f>IF(AK5=0,"-",1-ABS(AK5-AL5)/AK5)</f>
        <v/>
      </c>
      <c r="AO5">
        <f>IF((AL5-AK4)&gt;=500,IF(ABS((AK5-AK4))&lt;500,"",IF((AK5-AK4)&lt;0,-ABS((AK5-AK4)/(AL5-AK4)),MIN(1,ABS((AK5-AK4)/(AL5-AK4))))),IF((AL5-AK4)&lt;=-500,IF(ABS((AK5-AK4))&lt;500,"",IF((AK5-AK4)&gt;0,-ABS((AK5-AK4)/(AL5-AK4)),MIN(1,ABS((AK5-AK4)/(AL5-AK4))))),IF(ABS((AK5-AK4))&lt;500,1,MIN(1,500/ABS((AK5-AK4))))))</f>
        <v/>
      </c>
      <c r="AP5">
        <f>IF(AND(ABS((AK5-AK4))&lt;500,ABS((AL5-AK4))&lt;500),1,IF(AND(ABS((AK5-AK4))&lt;500,ABS((AL5-AK4))&gt;=500),0,IF((AK5-AK4)*(AL5-AK4)&gt;0,1,0)))</f>
        <v/>
      </c>
    </row>
    <row r="6">
      <c r="A6" s="5" t="n">
        <v>45578</v>
      </c>
      <c r="B6" s="6" t="n">
        <v>49200</v>
      </c>
      <c r="C6" s="7" t="n">
        <v>49915.824</v>
      </c>
      <c r="D6">
        <f>ABS(B6-C6)</f>
        <v/>
      </c>
      <c r="E6" s="8">
        <f>IF(B6=0,"-",1-ABS(B6-C6)/B6)</f>
        <v/>
      </c>
      <c r="F6">
        <f>IF((C6-B5)&gt;=500,IF(ABS((B6-B5))&lt;500,"",IF((B6-B5)&lt;0,-ABS((B6-B5)/(C6-B5)),MIN(1,ABS((B6-B5)/(C6-B5))))),IF((C6-B5)&lt;=-500,IF(ABS((B6-B5))&lt;500,"",IF((B6-B5)&gt;0,-ABS((B6-B5)/(C6-B5)),MIN(1,ABS((B6-B5)/(C6-B5))))),IF(ABS((B6-B5))&lt;500,1,MIN(1,500/ABS((B6-B5))))))</f>
        <v/>
      </c>
      <c r="G6">
        <f>IF(AND(ABS((B6-B5))&lt;500,ABS((C6-B5))&lt;500),1,IF(AND(ABS((B6-B5))&lt;500,ABS((C6-B5))&gt;=500),0,IF((B6-B5)*(C6-B5)&gt;0,1,0)))</f>
        <v/>
      </c>
      <c r="I6" s="6" t="n">
        <v>48600</v>
      </c>
      <c r="J6" s="7" t="n">
        <v>47650.574</v>
      </c>
      <c r="K6">
        <f>ABS(I6-J6)</f>
        <v/>
      </c>
      <c r="L6" s="8">
        <f>IF(I6=0,"-",1-ABS(I6-J6)/I6)</f>
        <v/>
      </c>
      <c r="M6">
        <f>IF((J6-I5)&gt;=500,IF(ABS((I6-I5))&lt;500,"",IF((I6-I5)&lt;0,-ABS((I6-I5)/(J6-I5)),MIN(1,ABS((I6-I5)/(J6-I5))))),IF((J6-I5)&lt;=-500,IF(ABS((I6-I5))&lt;500,"",IF((I6-I5)&gt;0,-ABS((I6-I5)/(J6-I5)),MIN(1,ABS((I6-I5)/(J6-I5))))),IF(ABS((I6-I5))&lt;500,1,MIN(1,500/ABS((I6-I5))))))</f>
        <v/>
      </c>
      <c r="N6">
        <f>IF(AND(ABS((I6-I5))&lt;500,ABS((J6-I5))&lt;500),1,IF(AND(ABS((I6-I5))&lt;500,ABS((J6-I5))&gt;=500),0,IF((I6-I5)*(J6-I5)&gt;0,1,0)))</f>
        <v/>
      </c>
      <c r="P6" s="6" t="n">
        <v>53600</v>
      </c>
      <c r="Q6" s="7" t="n">
        <v>52197.07</v>
      </c>
      <c r="R6">
        <f>ABS(P6-Q6)</f>
        <v/>
      </c>
      <c r="S6" s="8">
        <f>IF(P6=0,"-",1-ABS(P6-Q6)/P6)</f>
        <v/>
      </c>
      <c r="T6">
        <f>IF((Q6-P5)&gt;=500,IF(ABS((P6-P5))&lt;500,"",IF((P6-P5)&lt;0,-ABS((P6-P5)/(Q6-P5)),MIN(1,ABS((P6-P5)/(Q6-P5))))),IF((Q6-P5)&lt;=-500,IF(ABS((P6-P5))&lt;500,"",IF((P6-P5)&gt;0,-ABS((P6-P5)/(Q6-P5)),MIN(1,ABS((P6-P5)/(Q6-P5))))),IF(ABS((P6-P5))&lt;500,1,MIN(1,500/ABS((P6-P5))))))</f>
        <v/>
      </c>
      <c r="U6">
        <f>IF(AND(ABS((P6-P5))&lt;500,ABS((Q6-P5))&lt;500),1,IF(AND(ABS((P6-P5))&lt;500,ABS((Q6-P5))&gt;=500),0,IF((P6-P5)*(Q6-P5)&gt;0,1,0)))</f>
        <v/>
      </c>
      <c r="W6" s="6" t="n">
        <v>49300</v>
      </c>
      <c r="X6" s="7" t="n">
        <v>47898.766</v>
      </c>
      <c r="Y6">
        <f>ABS(W6-X6)</f>
        <v/>
      </c>
      <c r="Z6" s="8">
        <f>IF(W6=0,"-",1-ABS(W6-X6)/W6)</f>
        <v/>
      </c>
      <c r="AA6">
        <f>IF((X6-W5)&gt;=500,IF(ABS((W6-W5))&lt;500,"",IF((W6-W5)&lt;0,-ABS((W6-W5)/(X6-W5)),MIN(1,ABS((W6-W5)/(X6-W5))))),IF((X6-W5)&lt;=-500,IF(ABS((W6-W5))&lt;500,"",IF((W6-W5)&gt;0,-ABS((W6-W5)/(X6-W5)),MIN(1,ABS((W6-W5)/(X6-W5))))),IF(ABS((W6-W5))&lt;500,1,MIN(1,500/ABS((W6-W5))))))</f>
        <v/>
      </c>
      <c r="AB6">
        <f>IF(AND(ABS((W6-W5))&lt;500,ABS((X6-W5))&lt;500),1,IF(AND(ABS((W6-W5))&lt;500,ABS((X6-W5))&gt;=500),0,IF((W6-W5)*(X6-W5)&gt;0,1,0)))</f>
        <v/>
      </c>
      <c r="AD6" s="6" t="n">
        <v>45580</v>
      </c>
      <c r="AE6" s="7" t="n">
        <v>45039.375</v>
      </c>
      <c r="AF6">
        <f>ABS(AD6-AE6)</f>
        <v/>
      </c>
      <c r="AG6" s="8">
        <f>IF(AD6=0,"-",1-ABS(AD6-AE6)/AD6)</f>
        <v/>
      </c>
      <c r="AH6">
        <f>IF((AE6-AD5)&gt;=500,IF(ABS((AD6-AD5))&lt;500,"",IF((AD6-AD5)&lt;0,-ABS((AD6-AD5)/(AE6-AD5)),MIN(1,ABS((AD6-AD5)/(AE6-AD5))))),IF((AE6-AD5)&lt;=-500,IF(ABS((AD6-AD5))&lt;500,"",IF((AD6-AD5)&gt;0,-ABS((AD6-AD5)/(AE6-AD5)),MIN(1,ABS((AD6-AD5)/(AE6-AD5))))),IF(ABS((AD6-AD5))&lt;500,1,MIN(1,500/ABS((AD6-AD5))))))</f>
        <v/>
      </c>
      <c r="AI6">
        <f>IF(AND(ABS((AD6-AD5))&lt;500,ABS((AE6-AD5))&lt;500),1,IF(AND(ABS((AD6-AD5))&lt;500,ABS((AE6-AD5))&gt;=500),0,IF((AD6-AD5)*(AE6-AD5)&gt;0,1,0)))</f>
        <v/>
      </c>
      <c r="AK6" s="6" t="n">
        <v>50660</v>
      </c>
      <c r="AL6" s="7" t="n">
        <v>50417.83</v>
      </c>
      <c r="AM6">
        <f>ABS(AK6-AL6)</f>
        <v/>
      </c>
      <c r="AN6" s="8">
        <f>IF(AK6=0,"-",1-ABS(AK6-AL6)/AK6)</f>
        <v/>
      </c>
      <c r="AO6">
        <f>IF((AL6-AK5)&gt;=500,IF(ABS((AK6-AK5))&lt;500,"",IF((AK6-AK5)&lt;0,-ABS((AK6-AK5)/(AL6-AK5)),MIN(1,ABS((AK6-AK5)/(AL6-AK5))))),IF((AL6-AK5)&lt;=-500,IF(ABS((AK6-AK5))&lt;500,"",IF((AK6-AK5)&gt;0,-ABS((AK6-AK5)/(AL6-AK5)),MIN(1,ABS((AK6-AK5)/(AL6-AK5))))),IF(ABS((AK6-AK5))&lt;500,1,MIN(1,500/ABS((AK6-AK5))))))</f>
        <v/>
      </c>
      <c r="AP6">
        <f>IF(AND(ABS((AK6-AK5))&lt;500,ABS((AL6-AK5))&lt;500),1,IF(AND(ABS((AK6-AK5))&lt;500,ABS((AL6-AK5))&gt;=500),0,IF((AK6-AK5)*(AL6-AK5)&gt;0,1,0)))</f>
        <v/>
      </c>
    </row>
    <row r="7">
      <c r="A7" s="5" t="n">
        <v>45585</v>
      </c>
      <c r="B7" s="6" t="n">
        <v>49200</v>
      </c>
      <c r="C7" s="7" t="n">
        <v>50241.098</v>
      </c>
      <c r="D7">
        <f>ABS(B7-C7)</f>
        <v/>
      </c>
      <c r="E7" s="8">
        <f>IF(B7=0,"-",1-ABS(B7-C7)/B7)</f>
        <v/>
      </c>
      <c r="F7">
        <f>IF((C7-B6)&gt;=500,IF(ABS((B7-B6))&lt;500,"",IF((B7-B6)&lt;0,-ABS((B7-B6)/(C7-B6)),MIN(1,ABS((B7-B6)/(C7-B6))))),IF((C7-B6)&lt;=-500,IF(ABS((B7-B6))&lt;500,"",IF((B7-B6)&gt;0,-ABS((B7-B6)/(C7-B6)),MIN(1,ABS((B7-B6)/(C7-B6))))),IF(ABS((B7-B6))&lt;500,1,MIN(1,500/ABS((B7-B6))))))</f>
        <v/>
      </c>
      <c r="G7">
        <f>IF(AND(ABS((B7-B6))&lt;500,ABS((C7-B6))&lt;500),1,IF(AND(ABS((B7-B6))&lt;500,ABS((C7-B6))&gt;=500),0,IF((B7-B6)*(C7-B6)&gt;0,1,0)))</f>
        <v/>
      </c>
      <c r="I7" s="6" t="n">
        <v>48550</v>
      </c>
      <c r="J7" s="7" t="n">
        <v>48485.887</v>
      </c>
      <c r="K7">
        <f>ABS(I7-J7)</f>
        <v/>
      </c>
      <c r="L7" s="8">
        <f>IF(I7=0,"-",1-ABS(I7-J7)/I7)</f>
        <v/>
      </c>
      <c r="M7">
        <f>IF((J7-I6)&gt;=500,IF(ABS((I7-I6))&lt;500,"",IF((I7-I6)&lt;0,-ABS((I7-I6)/(J7-I6)),MIN(1,ABS((I7-I6)/(J7-I6))))),IF((J7-I6)&lt;=-500,IF(ABS((I7-I6))&lt;500,"",IF((I7-I6)&gt;0,-ABS((I7-I6)/(J7-I6)),MIN(1,ABS((I7-I6)/(J7-I6))))),IF(ABS((I7-I6))&lt;500,1,MIN(1,500/ABS((I7-I6))))))</f>
        <v/>
      </c>
      <c r="N7">
        <f>IF(AND(ABS((I7-I6))&lt;500,ABS((J7-I6))&lt;500),1,IF(AND(ABS((I7-I6))&lt;500,ABS((J7-I6))&gt;=500),0,IF((I7-I6)*(J7-I6)&gt;0,1,0)))</f>
        <v/>
      </c>
      <c r="P7" s="6" t="n">
        <v>54500</v>
      </c>
      <c r="Q7" s="7" t="n">
        <v>53270.64</v>
      </c>
      <c r="R7">
        <f>ABS(P7-Q7)</f>
        <v/>
      </c>
      <c r="S7" s="8">
        <f>IF(P7=0,"-",1-ABS(P7-Q7)/P7)</f>
        <v/>
      </c>
      <c r="T7">
        <f>IF((Q7-P6)&gt;=500,IF(ABS((P7-P6))&lt;500,"",IF((P7-P6)&lt;0,-ABS((P7-P6)/(Q7-P6)),MIN(1,ABS((P7-P6)/(Q7-P6))))),IF((Q7-P6)&lt;=-500,IF(ABS((P7-P6))&lt;500,"",IF((P7-P6)&gt;0,-ABS((P7-P6)/(Q7-P6)),MIN(1,ABS((P7-P6)/(Q7-P6))))),IF(ABS((P7-P6))&lt;500,1,MIN(1,500/ABS((P7-P6))))))</f>
        <v/>
      </c>
      <c r="U7">
        <f>IF(AND(ABS((P7-P6))&lt;500,ABS((Q7-P6))&lt;500),1,IF(AND(ABS((P7-P6))&lt;500,ABS((Q7-P6))&gt;=500),0,IF((P7-P6)*(Q7-P6)&gt;0,1,0)))</f>
        <v/>
      </c>
      <c r="W7" s="6" t="n">
        <v>48516.67</v>
      </c>
      <c r="X7" s="7" t="n">
        <v>49148.504</v>
      </c>
      <c r="Y7">
        <f>ABS(W7-X7)</f>
        <v/>
      </c>
      <c r="Z7" s="8">
        <f>IF(W7=0,"-",1-ABS(W7-X7)/W7)</f>
        <v/>
      </c>
      <c r="AA7">
        <f>IF((X7-W6)&gt;=500,IF(ABS((W7-W6))&lt;500,"",IF((W7-W6)&lt;0,-ABS((W7-W6)/(X7-W6)),MIN(1,ABS((W7-W6)/(X7-W6))))),IF((X7-W6)&lt;=-500,IF(ABS((W7-W6))&lt;500,"",IF((W7-W6)&gt;0,-ABS((W7-W6)/(X7-W6)),MIN(1,ABS((W7-W6)/(X7-W6))))),IF(ABS((W7-W6))&lt;500,1,MIN(1,500/ABS((W7-W6))))))</f>
        <v/>
      </c>
      <c r="AB7">
        <f>IF(AND(ABS((W7-W6))&lt;500,ABS((X7-W6))&lt;500),1,IF(AND(ABS((W7-W6))&lt;500,ABS((X7-W6))&gt;=500),0,IF((W7-W6)*(X7-W6)&gt;0,1,0)))</f>
        <v/>
      </c>
      <c r="AD7" s="6" t="n">
        <v>44566.67</v>
      </c>
      <c r="AE7" s="7" t="n">
        <v>44696.64</v>
      </c>
      <c r="AF7">
        <f>ABS(AD7-AE7)</f>
        <v/>
      </c>
      <c r="AG7" s="8">
        <f>IF(AD7=0,"-",1-ABS(AD7-AE7)/AD7)</f>
        <v/>
      </c>
      <c r="AH7">
        <f>IF((AE7-AD6)&gt;=500,IF(ABS((AD7-AD6))&lt;500,"",IF((AD7-AD6)&lt;0,-ABS((AD7-AD6)/(AE7-AD6)),MIN(1,ABS((AD7-AD6)/(AE7-AD6))))),IF((AE7-AD6)&lt;=-500,IF(ABS((AD7-AD6))&lt;500,"",IF((AD7-AD6)&gt;0,-ABS((AD7-AD6)/(AE7-AD6)),MIN(1,ABS((AD7-AD6)/(AE7-AD6))))),IF(ABS((AD7-AD6))&lt;500,1,MIN(1,500/ABS((AD7-AD6))))))</f>
        <v/>
      </c>
      <c r="AI7">
        <f>IF(AND(ABS((AD7-AD6))&lt;500,ABS((AE7-AD6))&lt;500),1,IF(AND(ABS((AD7-AD6))&lt;500,ABS((AE7-AD6))&gt;=500),0,IF((AD7-AD6)*(AE7-AD6)&gt;0,1,0)))</f>
        <v/>
      </c>
      <c r="AK7" s="6" t="n">
        <v>50166.67</v>
      </c>
      <c r="AL7" s="7" t="n">
        <v>50271.477</v>
      </c>
      <c r="AM7">
        <f>ABS(AK7-AL7)</f>
        <v/>
      </c>
      <c r="AN7" s="8">
        <f>IF(AK7=0,"-",1-ABS(AK7-AL7)/AK7)</f>
        <v/>
      </c>
      <c r="AO7">
        <f>IF((AL7-AK6)&gt;=500,IF(ABS((AK7-AK6))&lt;500,"",IF((AK7-AK6)&lt;0,-ABS((AK7-AK6)/(AL7-AK6)),MIN(1,ABS((AK7-AK6)/(AL7-AK6))))),IF((AL7-AK6)&lt;=-500,IF(ABS((AK7-AK6))&lt;500,"",IF((AK7-AK6)&gt;0,-ABS((AK7-AK6)/(AL7-AK6)),MIN(1,ABS((AK7-AK6)/(AL7-AK6))))),IF(ABS((AK7-AK6))&lt;500,1,MIN(1,500/ABS((AK7-AK6))))))</f>
        <v/>
      </c>
      <c r="AP7">
        <f>IF(AND(ABS((AK7-AK6))&lt;500,ABS((AL7-AK6))&lt;500),1,IF(AND(ABS((AK7-AK6))&lt;500,ABS((AL7-AK6))&gt;=500),0,IF((AK7-AK6)*(AL7-AK6)&gt;0,1,0)))</f>
        <v/>
      </c>
    </row>
    <row r="8">
      <c r="A8" s="5" t="n">
        <v>45592</v>
      </c>
      <c r="B8" s="6" t="n">
        <v>49200</v>
      </c>
      <c r="C8" s="7" t="n">
        <v>49858.918</v>
      </c>
      <c r="D8">
        <f>ABS(B8-C8)</f>
        <v/>
      </c>
      <c r="E8" s="8">
        <f>IF(B8=0,"-",1-ABS(B8-C8)/B8)</f>
        <v/>
      </c>
      <c r="F8">
        <f>IF((C8-B7)&gt;=500,IF(ABS((B8-B7))&lt;500,"",IF((B8-B7)&lt;0,-ABS((B8-B7)/(C8-B7)),MIN(1,ABS((B8-B7)/(C8-B7))))),IF((C8-B7)&lt;=-500,IF(ABS((B8-B7))&lt;500,"",IF((B8-B7)&gt;0,-ABS((B8-B7)/(C8-B7)),MIN(1,ABS((B8-B7)/(C8-B7))))),IF(ABS((B8-B7))&lt;500,1,MIN(1,500/ABS((B8-B7))))))</f>
        <v/>
      </c>
      <c r="G8">
        <f>IF(AND(ABS((B8-B7))&lt;500,ABS((C8-B7))&lt;500),1,IF(AND(ABS((B8-B7))&lt;500,ABS((C8-B7))&gt;=500),0,IF((B8-B7)*(C8-B7)&gt;0,1,0)))</f>
        <v/>
      </c>
      <c r="I8" s="6" t="n">
        <v>48150</v>
      </c>
      <c r="J8" s="7" t="n">
        <v>48404.883</v>
      </c>
      <c r="K8">
        <f>ABS(I8-J8)</f>
        <v/>
      </c>
      <c r="L8" s="8">
        <f>IF(I8=0,"-",1-ABS(I8-J8)/I8)</f>
        <v/>
      </c>
      <c r="M8">
        <f>IF((J8-I7)&gt;=500,IF(ABS((I8-I7))&lt;500,"",IF((I8-I7)&lt;0,-ABS((I8-I7)/(J8-I7)),MIN(1,ABS((I8-I7)/(J8-I7))))),IF((J8-I7)&lt;=-500,IF(ABS((I8-I7))&lt;500,"",IF((I8-I7)&gt;0,-ABS((I8-I7)/(J8-I7)),MIN(1,ABS((I8-I7)/(J8-I7))))),IF(ABS((I8-I7))&lt;500,1,MIN(1,500/ABS((I8-I7))))))</f>
        <v/>
      </c>
      <c r="N8">
        <f>IF(AND(ABS((I8-I7))&lt;500,ABS((J8-I7))&lt;500),1,IF(AND(ABS((I8-I7))&lt;500,ABS((J8-I7))&gt;=500),0,IF((I8-I7)*(J8-I7)&gt;0,1,0)))</f>
        <v/>
      </c>
      <c r="P8" s="6" t="n">
        <v>54500</v>
      </c>
      <c r="Q8" s="7" t="n">
        <v>54121.742</v>
      </c>
      <c r="R8">
        <f>ABS(P8-Q8)</f>
        <v/>
      </c>
      <c r="S8" s="8">
        <f>IF(P8=0,"-",1-ABS(P8-Q8)/P8)</f>
        <v/>
      </c>
      <c r="T8">
        <f>IF((Q8-P7)&gt;=500,IF(ABS((P8-P7))&lt;500,"",IF((P8-P7)&lt;0,-ABS((P8-P7)/(Q8-P7)),MIN(1,ABS((P8-P7)/(Q8-P7))))),IF((Q8-P7)&lt;=-500,IF(ABS((P8-P7))&lt;500,"",IF((P8-P7)&gt;0,-ABS((P8-P7)/(Q8-P7)),MIN(1,ABS((P8-P7)/(Q8-P7))))),IF(ABS((P8-P7))&lt;500,1,MIN(1,500/ABS((P8-P7))))))</f>
        <v/>
      </c>
      <c r="U8">
        <f>IF(AND(ABS((P8-P7))&lt;500,ABS((Q8-P7))&lt;500),1,IF(AND(ABS((P8-P7))&lt;500,ABS((Q8-P7))&gt;=500),0,IF((P8-P7)*(Q8-P7)&gt;0,1,0)))</f>
        <v/>
      </c>
      <c r="W8" s="6" t="n">
        <v>47616.67</v>
      </c>
      <c r="X8" s="7" t="n">
        <v>48505.1</v>
      </c>
      <c r="Y8">
        <f>ABS(W8-X8)</f>
        <v/>
      </c>
      <c r="Z8" s="8">
        <f>IF(W8=0,"-",1-ABS(W8-X8)/W8)</f>
        <v/>
      </c>
      <c r="AA8">
        <f>IF((X8-W7)&gt;=500,IF(ABS((W8-W7))&lt;500,"",IF((W8-W7)&lt;0,-ABS((W8-W7)/(X8-W7)),MIN(1,ABS((W8-W7)/(X8-W7))))),IF((X8-W7)&lt;=-500,IF(ABS((W8-W7))&lt;500,"",IF((W8-W7)&gt;0,-ABS((W8-W7)/(X8-W7)),MIN(1,ABS((W8-W7)/(X8-W7))))),IF(ABS((W8-W7))&lt;500,1,MIN(1,500/ABS((W8-W7))))))</f>
        <v/>
      </c>
      <c r="AB8">
        <f>IF(AND(ABS((W8-W7))&lt;500,ABS((X8-W7))&lt;500),1,IF(AND(ABS((W8-W7))&lt;500,ABS((X8-W7))&gt;=500),0,IF((W8-W7)*(X8-W7)&gt;0,1,0)))</f>
        <v/>
      </c>
      <c r="AD8" s="6" t="n">
        <v>42883.33</v>
      </c>
      <c r="AE8" s="7" t="n">
        <v>43947.234</v>
      </c>
      <c r="AF8">
        <f>ABS(AD8-AE8)</f>
        <v/>
      </c>
      <c r="AG8" s="8">
        <f>IF(AD8=0,"-",1-ABS(AD8-AE8)/AD8)</f>
        <v/>
      </c>
      <c r="AH8">
        <f>IF((AE8-AD7)&gt;=500,IF(ABS((AD8-AD7))&lt;500,"",IF((AD8-AD7)&lt;0,-ABS((AD8-AD7)/(AE8-AD7)),MIN(1,ABS((AD8-AD7)/(AE8-AD7))))),IF((AE8-AD7)&lt;=-500,IF(ABS((AD8-AD7))&lt;500,"",IF((AD8-AD7)&gt;0,-ABS((AD8-AD7)/(AE8-AD7)),MIN(1,ABS((AD8-AD7)/(AE8-AD7))))),IF(ABS((AD8-AD7))&lt;500,1,MIN(1,500/ABS((AD8-AD7))))))</f>
        <v/>
      </c>
      <c r="AI8">
        <f>IF(AND(ABS((AD8-AD7))&lt;500,ABS((AE8-AD7))&lt;500),1,IF(AND(ABS((AD8-AD7))&lt;500,ABS((AE8-AD7))&gt;=500),0,IF((AD8-AD7)*(AE8-AD7)&gt;0,1,0)))</f>
        <v/>
      </c>
      <c r="AK8" s="6" t="n">
        <v>48950</v>
      </c>
      <c r="AL8" s="7" t="n">
        <v>49885.29</v>
      </c>
      <c r="AM8">
        <f>ABS(AK8-AL8)</f>
        <v/>
      </c>
      <c r="AN8" s="8">
        <f>IF(AK8=0,"-",1-ABS(AK8-AL8)/AK8)</f>
        <v/>
      </c>
      <c r="AO8">
        <f>IF((AL8-AK7)&gt;=500,IF(ABS((AK8-AK7))&lt;500,"",IF((AK8-AK7)&lt;0,-ABS((AK8-AK7)/(AL8-AK7)),MIN(1,ABS((AK8-AK7)/(AL8-AK7))))),IF((AL8-AK7)&lt;=-500,IF(ABS((AK8-AK7))&lt;500,"",IF((AK8-AK7)&gt;0,-ABS((AK8-AK7)/(AL8-AK7)),MIN(1,ABS((AK8-AK7)/(AL8-AK7))))),IF(ABS((AK8-AK7))&lt;500,1,MIN(1,500/ABS((AK8-AK7))))))</f>
        <v/>
      </c>
      <c r="AP8">
        <f>IF(AND(ABS((AK8-AK7))&lt;500,ABS((AL8-AK7))&lt;500),1,IF(AND(ABS((AK8-AK7))&lt;500,ABS((AL8-AK7))&gt;=500),0,IF((AK8-AK7)*(AL8-AK7)&gt;0,1,0)))</f>
        <v/>
      </c>
    </row>
    <row r="9">
      <c r="A9" s="5" t="n">
        <v>45599</v>
      </c>
      <c r="B9" s="6" t="n">
        <v>49200</v>
      </c>
      <c r="C9" s="7" t="n">
        <v>49517.42</v>
      </c>
      <c r="D9">
        <f>ABS(B9-C9)</f>
        <v/>
      </c>
      <c r="E9" s="8">
        <f>IF(B9=0,"-",1-ABS(B9-C9)/B9)</f>
        <v/>
      </c>
      <c r="F9">
        <f>IF((C9-B8)&gt;=500,IF(ABS((B9-B8))&lt;500,"",IF((B9-B8)&lt;0,-ABS((B9-B8)/(C9-B8)),MIN(1,ABS((B9-B8)/(C9-B8))))),IF((C9-B8)&lt;=-500,IF(ABS((B9-B8))&lt;500,"",IF((B9-B8)&gt;0,-ABS((B9-B8)/(C9-B8)),MIN(1,ABS((B9-B8)/(C9-B8))))),IF(ABS((B9-B8))&lt;500,1,MIN(1,500/ABS((B9-B8))))))</f>
        <v/>
      </c>
      <c r="G9">
        <f>IF(AND(ABS((B9-B8))&lt;500,ABS((C9-B8))&lt;500),1,IF(AND(ABS((B9-B8))&lt;500,ABS((C9-B8))&gt;=500),0,IF((B9-B8)*(C9-B8)&gt;0,1,0)))</f>
        <v/>
      </c>
      <c r="I9" s="6" t="n">
        <v>48000</v>
      </c>
      <c r="J9" s="7" t="n">
        <v>48020.71</v>
      </c>
      <c r="K9">
        <f>ABS(I9-J9)</f>
        <v/>
      </c>
      <c r="L9" s="8">
        <f>IF(I9=0,"-",1-ABS(I9-J9)/I9)</f>
        <v/>
      </c>
      <c r="M9">
        <f>IF((J9-I8)&gt;=500,IF(ABS((I9-I8))&lt;500,"",IF((I9-I8)&lt;0,-ABS((I9-I8)/(J9-I8)),MIN(1,ABS((I9-I8)/(J9-I8))))),IF((J9-I8)&lt;=-500,IF(ABS((I9-I8))&lt;500,"",IF((I9-I8)&gt;0,-ABS((I9-I8)/(J9-I8)),MIN(1,ABS((I9-I8)/(J9-I8))))),IF(ABS((I9-I8))&lt;500,1,MIN(1,500/ABS((I9-I8))))))</f>
        <v/>
      </c>
      <c r="N9">
        <f>IF(AND(ABS((I9-I8))&lt;500,ABS((J9-I8))&lt;500),1,IF(AND(ABS((I9-I8))&lt;500,ABS((J9-I8))&gt;=500),0,IF((I9-I8)*(J9-I8)&gt;0,1,0)))</f>
        <v/>
      </c>
      <c r="P9" s="6" t="n">
        <v>55000</v>
      </c>
      <c r="Q9" s="7" t="n">
        <v>54089.96</v>
      </c>
      <c r="R9">
        <f>ABS(P9-Q9)</f>
        <v/>
      </c>
      <c r="S9" s="8">
        <f>IF(P9=0,"-",1-ABS(P9-Q9)/P9)</f>
        <v/>
      </c>
      <c r="T9">
        <f>IF((Q9-P8)&gt;=500,IF(ABS((P9-P8))&lt;500,"",IF((P9-P8)&lt;0,-ABS((P9-P8)/(Q9-P8)),MIN(1,ABS((P9-P8)/(Q9-P8))))),IF((Q9-P8)&lt;=-500,IF(ABS((P9-P8))&lt;500,"",IF((P9-P8)&gt;0,-ABS((P9-P8)/(Q9-P8)),MIN(1,ABS((P9-P8)/(Q9-P8))))),IF(ABS((P9-P8))&lt;500,1,MIN(1,500/ABS((P9-P8))))))</f>
        <v/>
      </c>
      <c r="U9">
        <f>IF(AND(ABS((P9-P8))&lt;500,ABS((Q9-P8))&lt;500),1,IF(AND(ABS((P9-P8))&lt;500,ABS((Q9-P8))&gt;=500),0,IF((P9-P8)*(Q9-P8)&gt;0,1,0)))</f>
        <v/>
      </c>
      <c r="W9" s="6" t="n">
        <v>47275</v>
      </c>
      <c r="X9" s="7" t="n">
        <v>47601.59</v>
      </c>
      <c r="Y9">
        <f>ABS(W9-X9)</f>
        <v/>
      </c>
      <c r="Z9" s="8">
        <f>IF(W9=0,"-",1-ABS(W9-X9)/W9)</f>
        <v/>
      </c>
      <c r="AA9">
        <f>IF((X9-W8)&gt;=500,IF(ABS((W9-W8))&lt;500,"",IF((W9-W8)&lt;0,-ABS((W9-W8)/(X9-W8)),MIN(1,ABS((W9-W8)/(X9-W8))))),IF((X9-W8)&lt;=-500,IF(ABS((W9-W8))&lt;500,"",IF((W9-W8)&gt;0,-ABS((W9-W8)/(X9-W8)),MIN(1,ABS((W9-W8)/(X9-W8))))),IF(ABS((W9-W8))&lt;500,1,MIN(1,500/ABS((W9-W8))))))</f>
        <v/>
      </c>
      <c r="AB9">
        <f>IF(AND(ABS((W9-W8))&lt;500,ABS((X9-W8))&lt;500),1,IF(AND(ABS((W9-W8))&lt;500,ABS((X9-W8))&gt;=500),0,IF((W9-W8)*(X9-W8)&gt;0,1,0)))</f>
        <v/>
      </c>
      <c r="AD9" s="6" t="n">
        <v>42566.67</v>
      </c>
      <c r="AE9" s="7" t="n">
        <v>42337.176</v>
      </c>
      <c r="AF9">
        <f>ABS(AD9-AE9)</f>
        <v/>
      </c>
      <c r="AG9" s="8">
        <f>IF(AD9=0,"-",1-ABS(AD9-AE9)/AD9)</f>
        <v/>
      </c>
      <c r="AH9">
        <f>IF((AE9-AD8)&gt;=500,IF(ABS((AD9-AD8))&lt;500,"",IF((AD9-AD8)&lt;0,-ABS((AD9-AD8)/(AE9-AD8)),MIN(1,ABS((AD9-AD8)/(AE9-AD8))))),IF((AE9-AD8)&lt;=-500,IF(ABS((AD9-AD8))&lt;500,"",IF((AD9-AD8)&gt;0,-ABS((AD9-AD8)/(AE9-AD8)),MIN(1,ABS((AD9-AD8)/(AE9-AD8))))),IF(ABS((AD9-AD8))&lt;500,1,MIN(1,500/ABS((AD9-AD8))))))</f>
        <v/>
      </c>
      <c r="AI9">
        <f>IF(AND(ABS((AD9-AD8))&lt;500,ABS((AE9-AD8))&lt;500),1,IF(AND(ABS((AD9-AD8))&lt;500,ABS((AE9-AD8))&gt;=500),0,IF((AD9-AD8)*(AE9-AD8)&gt;0,1,0)))</f>
        <v/>
      </c>
      <c r="AK9" s="6" t="n">
        <v>48375</v>
      </c>
      <c r="AL9" s="7" t="n">
        <v>48646.223</v>
      </c>
      <c r="AM9">
        <f>ABS(AK9-AL9)</f>
        <v/>
      </c>
      <c r="AN9" s="8">
        <f>IF(AK9=0,"-",1-ABS(AK9-AL9)/AK9)</f>
        <v/>
      </c>
      <c r="AO9">
        <f>IF((AL9-AK8)&gt;=500,IF(ABS((AK9-AK8))&lt;500,"",IF((AK9-AK8)&lt;0,-ABS((AK9-AK8)/(AL9-AK8)),MIN(1,ABS((AK9-AK8)/(AL9-AK8))))),IF((AL9-AK8)&lt;=-500,IF(ABS((AK9-AK8))&lt;500,"",IF((AK9-AK8)&gt;0,-ABS((AK9-AK8)/(AL9-AK8)),MIN(1,ABS((AK9-AK8)/(AL9-AK8))))),IF(ABS((AK9-AK8))&lt;500,1,MIN(1,500/ABS((AK9-AK8))))))</f>
        <v/>
      </c>
      <c r="AP9">
        <f>IF(AND(ABS((AK9-AK8))&lt;500,ABS((AL9-AK8))&lt;500),1,IF(AND(ABS((AK9-AK8))&lt;500,ABS((AL9-AK8))&gt;=500),0,IF((AK9-AK8)*(AL9-AK8)&gt;0,1,0)))</f>
        <v/>
      </c>
    </row>
    <row r="10">
      <c r="A10" s="5" t="n">
        <v>45606</v>
      </c>
      <c r="B10" s="6" t="n">
        <v>49000</v>
      </c>
      <c r="C10" s="7" t="n">
        <v>49415.06</v>
      </c>
      <c r="D10">
        <f>ABS(B10-C10)</f>
        <v/>
      </c>
      <c r="E10" s="8">
        <f>IF(B10=0,"-",1-ABS(B10-C10)/B10)</f>
        <v/>
      </c>
      <c r="F10">
        <f>IF((C10-B9)&gt;=500,IF(ABS((B10-B9))&lt;500,"",IF((B10-B9)&lt;0,-ABS((B10-B9)/(C10-B9)),MIN(1,ABS((B10-B9)/(C10-B9))))),IF((C10-B9)&lt;=-500,IF(ABS((B10-B9))&lt;500,"",IF((B10-B9)&gt;0,-ABS((B10-B9)/(C10-B9)),MIN(1,ABS((B10-B9)/(C10-B9))))),IF(ABS((B10-B9))&lt;500,1,MIN(1,500/ABS((B10-B9))))))</f>
        <v/>
      </c>
      <c r="G10">
        <f>IF(AND(ABS((B10-B9))&lt;500,ABS((C10-B9))&lt;500),1,IF(AND(ABS((B10-B9))&lt;500,ABS((C10-B9))&gt;=500),0,IF((B10-B9)*(C10-B9)&gt;0,1,0)))</f>
        <v/>
      </c>
      <c r="I10" s="6" t="n">
        <v>48250</v>
      </c>
      <c r="J10" s="7" t="n">
        <v>47961.55</v>
      </c>
      <c r="K10">
        <f>ABS(I10-J10)</f>
        <v/>
      </c>
      <c r="L10" s="8">
        <f>IF(I10=0,"-",1-ABS(I10-J10)/I10)</f>
        <v/>
      </c>
      <c r="M10">
        <f>IF((J10-I9)&gt;=500,IF(ABS((I10-I9))&lt;500,"",IF((I10-I9)&lt;0,-ABS((I10-I9)/(J10-I9)),MIN(1,ABS((I10-I9)/(J10-I9))))),IF((J10-I9)&lt;=-500,IF(ABS((I10-I9))&lt;500,"",IF((I10-I9)&gt;0,-ABS((I10-I9)/(J10-I9)),MIN(1,ABS((I10-I9)/(J10-I9))))),IF(ABS((I10-I9))&lt;500,1,MIN(1,500/ABS((I10-I9))))))</f>
        <v/>
      </c>
      <c r="N10">
        <f>IF(AND(ABS((I10-I9))&lt;500,ABS((J10-I9))&lt;500),1,IF(AND(ABS((I10-I9))&lt;500,ABS((J10-I9))&gt;=500),0,IF((I10-I9)*(J10-I9)&gt;0,1,0)))</f>
        <v/>
      </c>
      <c r="P10" s="6" t="n">
        <v>54800</v>
      </c>
      <c r="Q10" s="7" t="n">
        <v>54412.91</v>
      </c>
      <c r="R10">
        <f>ABS(P10-Q10)</f>
        <v/>
      </c>
      <c r="S10" s="8">
        <f>IF(P10=0,"-",1-ABS(P10-Q10)/P10)</f>
        <v/>
      </c>
      <c r="T10">
        <f>IF((Q10-P9)&gt;=500,IF(ABS((P10-P9))&lt;500,"",IF((P10-P9)&lt;0,-ABS((P10-P9)/(Q10-P9)),MIN(1,ABS((P10-P9)/(Q10-P9))))),IF((Q10-P9)&lt;=-500,IF(ABS((P10-P9))&lt;500,"",IF((P10-P9)&gt;0,-ABS((P10-P9)/(Q10-P9)),MIN(1,ABS((P10-P9)/(Q10-P9))))),IF(ABS((P10-P9))&lt;500,1,MIN(1,500/ABS((P10-P9))))))</f>
        <v/>
      </c>
      <c r="U10">
        <f>IF(AND(ABS((P10-P9))&lt;500,ABS((Q10-P9))&lt;500),1,IF(AND(ABS((P10-P9))&lt;500,ABS((Q10-P9))&gt;=500),0,IF((P10-P9)*(Q10-P9)&gt;0,1,0)))</f>
        <v/>
      </c>
      <c r="W10" s="6" t="n">
        <v>47450</v>
      </c>
      <c r="X10" s="7" t="n">
        <v>47312.49</v>
      </c>
      <c r="Y10">
        <f>ABS(W10-X10)</f>
        <v/>
      </c>
      <c r="Z10" s="8">
        <f>IF(W10=0,"-",1-ABS(W10-X10)/W10)</f>
        <v/>
      </c>
      <c r="AA10">
        <f>IF((X10-W9)&gt;=500,IF(ABS((W10-W9))&lt;500,"",IF((W10-W9)&lt;0,-ABS((W10-W9)/(X10-W9)),MIN(1,ABS((W10-W9)/(X10-W9))))),IF((X10-W9)&lt;=-500,IF(ABS((W10-W9))&lt;500,"",IF((W10-W9)&gt;0,-ABS((W10-W9)/(X10-W9)),MIN(1,ABS((W10-W9)/(X10-W9))))),IF(ABS((W10-W9))&lt;500,1,MIN(1,500/ABS((W10-W9))))))</f>
        <v/>
      </c>
      <c r="AB10">
        <f>IF(AND(ABS((W10-W9))&lt;500,ABS((X10-W9))&lt;500),1,IF(AND(ABS((W10-W9))&lt;500,ABS((X10-W9))&gt;=500),0,IF((W10-W9)*(X10-W9)&gt;0,1,0)))</f>
        <v/>
      </c>
      <c r="AD10" s="6" t="n">
        <v>43150</v>
      </c>
      <c r="AE10" s="7" t="n">
        <v>42237.8</v>
      </c>
      <c r="AF10">
        <f>ABS(AD10-AE10)</f>
        <v/>
      </c>
      <c r="AG10" s="8">
        <f>IF(AD10=0,"-",1-ABS(AD10-AE10)/AD10)</f>
        <v/>
      </c>
      <c r="AH10">
        <f>IF((AE10-AD9)&gt;=500,IF(ABS((AD10-AD9))&lt;500,"",IF((AD10-AD9)&lt;0,-ABS((AD10-AD9)/(AE10-AD9)),MIN(1,ABS((AD10-AD9)/(AE10-AD9))))),IF((AE10-AD9)&lt;=-500,IF(ABS((AD10-AD9))&lt;500,"",IF((AD10-AD9)&gt;0,-ABS((AD10-AD9)/(AE10-AD9)),MIN(1,ABS((AD10-AD9)/(AE10-AD9))))),IF(ABS((AD10-AD9))&lt;500,1,MIN(1,500/ABS((AD10-AD9))))))</f>
        <v/>
      </c>
      <c r="AI10">
        <f>IF(AND(ABS((AD10-AD9))&lt;500,ABS((AE10-AD9))&lt;500),1,IF(AND(ABS((AD10-AD9))&lt;500,ABS((AE10-AD9))&gt;=500),0,IF((AD10-AD9)*(AE10-AD9)&gt;0,1,0)))</f>
        <v/>
      </c>
      <c r="AK10" s="6" t="n">
        <v>48566.67</v>
      </c>
      <c r="AL10" s="7" t="n">
        <v>48266.24</v>
      </c>
      <c r="AM10">
        <f>ABS(AK10-AL10)</f>
        <v/>
      </c>
      <c r="AN10" s="8">
        <f>IF(AK10=0,"-",1-ABS(AK10-AL10)/AK10)</f>
        <v/>
      </c>
      <c r="AO10">
        <f>IF((AL10-AK9)&gt;=500,IF(ABS((AK10-AK9))&lt;500,"",IF((AK10-AK9)&lt;0,-ABS((AK10-AK9)/(AL10-AK9)),MIN(1,ABS((AK10-AK9)/(AL10-AK9))))),IF((AL10-AK9)&lt;=-500,IF(ABS((AK10-AK9))&lt;500,"",IF((AK10-AK9)&gt;0,-ABS((AK10-AK9)/(AL10-AK9)),MIN(1,ABS((AK10-AK9)/(AL10-AK9))))),IF(ABS((AK10-AK9))&lt;500,1,MIN(1,500/ABS((AK10-AK9))))))</f>
        <v/>
      </c>
      <c r="AP10">
        <f>IF(AND(ABS((AK10-AK9))&lt;500,ABS((AL10-AK9))&lt;500),1,IF(AND(ABS((AK10-AK9))&lt;500,ABS((AL10-AK9))&gt;=500),0,IF((AK10-AK9)*(AL10-AK9)&gt;0,1,0)))</f>
        <v/>
      </c>
    </row>
    <row r="11">
      <c r="A11" s="5" t="n">
        <v>45613</v>
      </c>
      <c r="B11" s="6" t="n">
        <v>49000</v>
      </c>
      <c r="C11" s="7" t="n">
        <v>49301.492</v>
      </c>
      <c r="D11">
        <f>ABS(B11-C11)</f>
        <v/>
      </c>
      <c r="E11" s="8">
        <f>IF(B11=0,"-",1-ABS(B11-C11)/B11)</f>
        <v/>
      </c>
      <c r="F11">
        <f>IF((C11-B10)&gt;=500,IF(ABS((B11-B10))&lt;500,"",IF((B11-B10)&lt;0,-ABS((B11-B10)/(C11-B10)),MIN(1,ABS((B11-B10)/(C11-B10))))),IF((C11-B10)&lt;=-500,IF(ABS((B11-B10))&lt;500,"",IF((B11-B10)&gt;0,-ABS((B11-B10)/(C11-B10)),MIN(1,ABS((B11-B10)/(C11-B10))))),IF(ABS((B11-B10))&lt;500,1,MIN(1,500/ABS((B11-B10))))))</f>
        <v/>
      </c>
      <c r="G11">
        <f>IF(AND(ABS((B11-B10))&lt;500,ABS((C11-B10))&lt;500),1,IF(AND(ABS((B11-B10))&lt;500,ABS((C11-B10))&gt;=500),0,IF((B11-B10)*(C11-B10)&gt;0,1,0)))</f>
        <v/>
      </c>
      <c r="I11" s="6" t="n">
        <v>48100</v>
      </c>
      <c r="J11" s="7" t="n">
        <v>48176.098</v>
      </c>
      <c r="K11">
        <f>ABS(I11-J11)</f>
        <v/>
      </c>
      <c r="L11" s="8">
        <f>IF(I11=0,"-",1-ABS(I11-J11)/I11)</f>
        <v/>
      </c>
      <c r="M11">
        <f>IF((J11-I10)&gt;=500,IF(ABS((I11-I10))&lt;500,"",IF((I11-I10)&lt;0,-ABS((I11-I10)/(J11-I10)),MIN(1,ABS((I11-I10)/(J11-I10))))),IF((J11-I10)&lt;=-500,IF(ABS((I11-I10))&lt;500,"",IF((I11-I10)&gt;0,-ABS((I11-I10)/(J11-I10)),MIN(1,ABS((I11-I10)/(J11-I10))))),IF(ABS((I11-I10))&lt;500,1,MIN(1,500/ABS((I11-I10))))))</f>
        <v/>
      </c>
      <c r="N11">
        <f>IF(AND(ABS((I11-I10))&lt;500,ABS((J11-I10))&lt;500),1,IF(AND(ABS((I11-I10))&lt;500,ABS((J11-I10))&gt;=500),0,IF((I11-I10)*(J11-I10)&gt;0,1,0)))</f>
        <v/>
      </c>
      <c r="P11" s="6" t="n">
        <v>54100</v>
      </c>
      <c r="Q11" s="7" t="n">
        <v>54152.77</v>
      </c>
      <c r="R11">
        <f>ABS(P11-Q11)</f>
        <v/>
      </c>
      <c r="S11" s="8">
        <f>IF(P11=0,"-",1-ABS(P11-Q11)/P11)</f>
        <v/>
      </c>
      <c r="T11">
        <f>IF((Q11-P10)&gt;=500,IF(ABS((P11-P10))&lt;500,"",IF((P11-P10)&lt;0,-ABS((P11-P10)/(Q11-P10)),MIN(1,ABS((P11-P10)/(Q11-P10))))),IF((Q11-P10)&lt;=-500,IF(ABS((P11-P10))&lt;500,"",IF((P11-P10)&gt;0,-ABS((P11-P10)/(Q11-P10)),MIN(1,ABS((P11-P10)/(Q11-P10))))),IF(ABS((P11-P10))&lt;500,1,MIN(1,500/ABS((P11-P10))))))</f>
        <v/>
      </c>
      <c r="U11">
        <f>IF(AND(ABS((P11-P10))&lt;500,ABS((Q11-P10))&lt;500),1,IF(AND(ABS((P11-P10))&lt;500,ABS((Q11-P10))&gt;=500),0,IF((P11-P10)*(Q11-P10)&gt;0,1,0)))</f>
        <v/>
      </c>
      <c r="W11" s="6" t="n">
        <v>47833.33</v>
      </c>
      <c r="X11" s="7" t="n">
        <v>47455.613</v>
      </c>
      <c r="Y11">
        <f>ABS(W11-X11)</f>
        <v/>
      </c>
      <c r="Z11" s="8">
        <f>IF(W11=0,"-",1-ABS(W11-X11)/W11)</f>
        <v/>
      </c>
      <c r="AA11">
        <f>IF((X11-W10)&gt;=500,IF(ABS((W11-W10))&lt;500,"",IF((W11-W10)&lt;0,-ABS((W11-W10)/(X11-W10)),MIN(1,ABS((W11-W10)/(X11-W10))))),IF((X11-W10)&lt;=-500,IF(ABS((W11-W10))&lt;500,"",IF((W11-W10)&gt;0,-ABS((W11-W10)/(X11-W10)),MIN(1,ABS((W11-W10)/(X11-W10))))),IF(ABS((W11-W10))&lt;500,1,MIN(1,500/ABS((W11-W10))))))</f>
        <v/>
      </c>
      <c r="AB11">
        <f>IF(AND(ABS((W11-W10))&lt;500,ABS((X11-W10))&lt;500),1,IF(AND(ABS((W11-W10))&lt;500,ABS((X11-W10))&gt;=500),0,IF((W11-W10)*(X11-W10)&gt;0,1,0)))</f>
        <v/>
      </c>
      <c r="AD11" s="6" t="n">
        <v>43050</v>
      </c>
      <c r="AE11" s="7" t="n">
        <v>42654.96</v>
      </c>
      <c r="AF11">
        <f>ABS(AD11-AE11)</f>
        <v/>
      </c>
      <c r="AG11" s="8">
        <f>IF(AD11=0,"-",1-ABS(AD11-AE11)/AD11)</f>
        <v/>
      </c>
      <c r="AH11">
        <f>IF((AE11-AD10)&gt;=500,IF(ABS((AD11-AD10))&lt;500,"",IF((AD11-AD10)&lt;0,-ABS((AD11-AD10)/(AE11-AD10)),MIN(1,ABS((AD11-AD10)/(AE11-AD10))))),IF((AE11-AD10)&lt;=-500,IF(ABS((AD11-AD10))&lt;500,"",IF((AD11-AD10)&gt;0,-ABS((AD11-AD10)/(AE11-AD10)),MIN(1,ABS((AD11-AD10)/(AE11-AD10))))),IF(ABS((AD11-AD10))&lt;500,1,MIN(1,500/ABS((AD11-AD10))))))</f>
        <v/>
      </c>
      <c r="AI11">
        <f>IF(AND(ABS((AD11-AD10))&lt;500,ABS((AE11-AD10))&lt;500),1,IF(AND(ABS((AD11-AD10))&lt;500,ABS((AE11-AD10))&gt;=500),0,IF((AD11-AD10)*(AE11-AD10)&gt;0,1,0)))</f>
        <v/>
      </c>
      <c r="AK11" s="6" t="n">
        <v>48450</v>
      </c>
      <c r="AL11" s="7" t="n">
        <v>48381.86</v>
      </c>
      <c r="AM11">
        <f>ABS(AK11-AL11)</f>
        <v/>
      </c>
      <c r="AN11" s="8">
        <f>IF(AK11=0,"-",1-ABS(AK11-AL11)/AK11)</f>
        <v/>
      </c>
      <c r="AO11">
        <f>IF((AL11-AK10)&gt;=500,IF(ABS((AK11-AK10))&lt;500,"",IF((AK11-AK10)&lt;0,-ABS((AK11-AK10)/(AL11-AK10)),MIN(1,ABS((AK11-AK10)/(AL11-AK10))))),IF((AL11-AK10)&lt;=-500,IF(ABS((AK11-AK10))&lt;500,"",IF((AK11-AK10)&gt;0,-ABS((AK11-AK10)/(AL11-AK10)),MIN(1,ABS((AK11-AK10)/(AL11-AK10))))),IF(ABS((AK11-AK10))&lt;500,1,MIN(1,500/ABS((AK11-AK10))))))</f>
        <v/>
      </c>
      <c r="AP11">
        <f>IF(AND(ABS((AK11-AK10))&lt;500,ABS((AL11-AK10))&lt;500),1,IF(AND(ABS((AK11-AK10))&lt;500,ABS((AL11-AK10))&gt;=500),0,IF((AK11-AK10)*(AL11-AK10)&gt;0,1,0)))</f>
        <v/>
      </c>
    </row>
    <row r="12">
      <c r="A12" s="5" t="n">
        <v>45620</v>
      </c>
      <c r="B12" s="6" t="n">
        <v>49000</v>
      </c>
      <c r="C12" s="7" t="n">
        <v>49230.934</v>
      </c>
      <c r="D12">
        <f>ABS(B12-C12)</f>
        <v/>
      </c>
      <c r="E12" s="8">
        <f>IF(B12=0,"-",1-ABS(B12-C12)/B12)</f>
        <v/>
      </c>
      <c r="F12">
        <f>IF((C12-B11)&gt;=500,IF(ABS((B12-B11))&lt;500,"",IF((B12-B11)&lt;0,-ABS((B12-B11)/(C12-B11)),MIN(1,ABS((B12-B11)/(C12-B11))))),IF((C12-B11)&lt;=-500,IF(ABS((B12-B11))&lt;500,"",IF((B12-B11)&gt;0,-ABS((B12-B11)/(C12-B11)),MIN(1,ABS((B12-B11)/(C12-B11))))),IF(ABS((B12-B11))&lt;500,1,MIN(1,500/ABS((B12-B11))))))</f>
        <v/>
      </c>
      <c r="G12">
        <f>IF(AND(ABS((B12-B11))&lt;500,ABS((C12-B11))&lt;500),1,IF(AND(ABS((B12-B11))&lt;500,ABS((C12-B11))&gt;=500),0,IF((B12-B11)*(C12-B11)&gt;0,1,0)))</f>
        <v/>
      </c>
      <c r="I12" s="6" t="n">
        <v>48050</v>
      </c>
      <c r="J12" s="7" t="n">
        <v>47943.992</v>
      </c>
      <c r="K12">
        <f>ABS(I12-J12)</f>
        <v/>
      </c>
      <c r="L12" s="8">
        <f>IF(I12=0,"-",1-ABS(I12-J12)/I12)</f>
        <v/>
      </c>
      <c r="M12">
        <f>IF((J12-I11)&gt;=500,IF(ABS((I12-I11))&lt;500,"",IF((I12-I11)&lt;0,-ABS((I12-I11)/(J12-I11)),MIN(1,ABS((I12-I11)/(J12-I11))))),IF((J12-I11)&lt;=-500,IF(ABS((I12-I11))&lt;500,"",IF((I12-I11)&gt;0,-ABS((I12-I11)/(J12-I11)),MIN(1,ABS((I12-I11)/(J12-I11))))),IF(ABS((I12-I11))&lt;500,1,MIN(1,500/ABS((I12-I11))))))</f>
        <v/>
      </c>
      <c r="N12">
        <f>IF(AND(ABS((I12-I11))&lt;500,ABS((J12-I11))&lt;500),1,IF(AND(ABS((I12-I11))&lt;500,ABS((J12-I11))&gt;=500),0,IF((I12-I11)*(J12-I11)&gt;0,1,0)))</f>
        <v/>
      </c>
      <c r="P12" s="6" t="n">
        <v>54000</v>
      </c>
      <c r="Q12" s="7" t="n">
        <v>53478.08</v>
      </c>
      <c r="R12">
        <f>ABS(P12-Q12)</f>
        <v/>
      </c>
      <c r="S12" s="8">
        <f>IF(P12=0,"-",1-ABS(P12-Q12)/P12)</f>
        <v/>
      </c>
      <c r="T12">
        <f>IF((Q12-P11)&gt;=500,IF(ABS((P12-P11))&lt;500,"",IF((P12-P11)&lt;0,-ABS((P12-P11)/(Q12-P11)),MIN(1,ABS((P12-P11)/(Q12-P11))))),IF((Q12-P11)&lt;=-500,IF(ABS((P12-P11))&lt;500,"",IF((P12-P11)&gt;0,-ABS((P12-P11)/(Q12-P11)),MIN(1,ABS((P12-P11)/(Q12-P11))))),IF(ABS((P12-P11))&lt;500,1,MIN(1,500/ABS((P12-P11))))))</f>
        <v/>
      </c>
      <c r="U12">
        <f>IF(AND(ABS((P12-P11))&lt;500,ABS((Q12-P11))&lt;500),1,IF(AND(ABS((P12-P11))&lt;500,ABS((Q12-P11))&gt;=500),0,IF((P12-P11)*(Q12-P11)&gt;0,1,0)))</f>
        <v/>
      </c>
      <c r="W12" s="6" t="n">
        <v>47620</v>
      </c>
      <c r="X12" s="7" t="n">
        <v>47892.484</v>
      </c>
      <c r="Y12">
        <f>ABS(W12-X12)</f>
        <v/>
      </c>
      <c r="Z12" s="8">
        <f>IF(W12=0,"-",1-ABS(W12-X12)/W12)</f>
        <v/>
      </c>
      <c r="AA12">
        <f>IF((X12-W11)&gt;=500,IF(ABS((W12-W11))&lt;500,"",IF((W12-W11)&lt;0,-ABS((W12-W11)/(X12-W11)),MIN(1,ABS((W12-W11)/(X12-W11))))),IF((X12-W11)&lt;=-500,IF(ABS((W12-W11))&lt;500,"",IF((W12-W11)&gt;0,-ABS((W12-W11)/(X12-W11)),MIN(1,ABS((W12-W11)/(X12-W11))))),IF(ABS((W12-W11))&lt;500,1,MIN(1,500/ABS((W12-W11))))))</f>
        <v/>
      </c>
      <c r="AB12">
        <f>IF(AND(ABS((W12-W11))&lt;500,ABS((X12-W11))&lt;500),1,IF(AND(ABS((W12-W11))&lt;500,ABS((X12-W11))&gt;=500),0,IF((W12-W11)*(X12-W11)&gt;0,1,0)))</f>
        <v/>
      </c>
      <c r="AD12" s="6" t="n">
        <v>42350</v>
      </c>
      <c r="AE12" s="7" t="n">
        <v>42677.184</v>
      </c>
      <c r="AF12">
        <f>ABS(AD12-AE12)</f>
        <v/>
      </c>
      <c r="AG12" s="8">
        <f>IF(AD12=0,"-",1-ABS(AD12-AE12)/AD12)</f>
        <v/>
      </c>
      <c r="AH12">
        <f>IF((AE12-AD11)&gt;=500,IF(ABS((AD12-AD11))&lt;500,"",IF((AD12-AD11)&lt;0,-ABS((AD12-AD11)/(AE12-AD11)),MIN(1,ABS((AD12-AD11)/(AE12-AD11))))),IF((AE12-AD11)&lt;=-500,IF(ABS((AD12-AD11))&lt;500,"",IF((AD12-AD11)&gt;0,-ABS((AD12-AD11)/(AE12-AD11)),MIN(1,ABS((AD12-AD11)/(AE12-AD11))))),IF(ABS((AD12-AD11))&lt;500,1,MIN(1,500/ABS((AD12-AD11))))))</f>
        <v/>
      </c>
      <c r="AI12">
        <f>IF(AND(ABS((AD12-AD11))&lt;500,ABS((AE12-AD11))&lt;500),1,IF(AND(ABS((AD12-AD11))&lt;500,ABS((AE12-AD11))&gt;=500),0,IF((AD12-AD11)*(AE12-AD11)&gt;0,1,0)))</f>
        <v/>
      </c>
      <c r="AK12" s="6" t="n">
        <v>48033.33</v>
      </c>
      <c r="AL12" s="7" t="n">
        <v>48323.39</v>
      </c>
      <c r="AM12">
        <f>ABS(AK12-AL12)</f>
        <v/>
      </c>
      <c r="AN12" s="8">
        <f>IF(AK12=0,"-",1-ABS(AK12-AL12)/AK12)</f>
        <v/>
      </c>
      <c r="AO12">
        <f>IF((AL12-AK11)&gt;=500,IF(ABS((AK12-AK11))&lt;500,"",IF((AK12-AK11)&lt;0,-ABS((AK12-AK11)/(AL12-AK11)),MIN(1,ABS((AK12-AK11)/(AL12-AK11))))),IF((AL12-AK11)&lt;=-500,IF(ABS((AK12-AK11))&lt;500,"",IF((AK12-AK11)&gt;0,-ABS((AK12-AK11)/(AL12-AK11)),MIN(1,ABS((AK12-AK11)/(AL12-AK11))))),IF(ABS((AK12-AK11))&lt;500,1,MIN(1,500/ABS((AK12-AK11))))))</f>
        <v/>
      </c>
      <c r="AP12">
        <f>IF(AND(ABS((AK12-AK11))&lt;500,ABS((AL12-AK11))&lt;500),1,IF(AND(ABS((AK12-AK11))&lt;500,ABS((AL12-AK11))&gt;=500),0,IF((AK12-AK11)*(AL12-AK11)&gt;0,1,0)))</f>
        <v/>
      </c>
    </row>
    <row r="13">
      <c r="A13" s="5" t="n">
        <v>45627</v>
      </c>
      <c r="B13" s="6" t="n">
        <v>48500</v>
      </c>
      <c r="C13" s="7" t="n">
        <v>49192.92</v>
      </c>
      <c r="D13">
        <f>ABS(B13-C13)</f>
        <v/>
      </c>
      <c r="E13" s="8">
        <f>IF(B13=0,"-",1-ABS(B13-C13)/B13)</f>
        <v/>
      </c>
      <c r="F13">
        <f>IF((C13-B12)&gt;=500,IF(ABS((B13-B12))&lt;500,"",IF((B13-B12)&lt;0,-ABS((B13-B12)/(C13-B12)),MIN(1,ABS((B13-B12)/(C13-B12))))),IF((C13-B12)&lt;=-500,IF(ABS((B13-B12))&lt;500,"",IF((B13-B12)&gt;0,-ABS((B13-B12)/(C13-B12)),MIN(1,ABS((B13-B12)/(C13-B12))))),IF(ABS((B13-B12))&lt;500,1,MIN(1,500/ABS((B13-B12))))))</f>
        <v/>
      </c>
      <c r="G13">
        <f>IF(AND(ABS((B13-B12))&lt;500,ABS((C13-B12))&lt;500),1,IF(AND(ABS((B13-B12))&lt;500,ABS((C13-B12))&gt;=500),0,IF((B13-B12)*(C13-B12)&gt;0,1,0)))</f>
        <v/>
      </c>
      <c r="I13" s="6" t="n">
        <v>47850</v>
      </c>
      <c r="J13" s="7" t="n">
        <v>47935.75</v>
      </c>
      <c r="K13">
        <f>ABS(I13-J13)</f>
        <v/>
      </c>
      <c r="L13" s="8">
        <f>IF(I13=0,"-",1-ABS(I13-J13)/I13)</f>
        <v/>
      </c>
      <c r="M13">
        <f>IF((J13-I12)&gt;=500,IF(ABS((I13-I12))&lt;500,"",IF((I13-I12)&lt;0,-ABS((I13-I12)/(J13-I12)),MIN(1,ABS((I13-I12)/(J13-I12))))),IF((J13-I12)&lt;=-500,IF(ABS((I13-I12))&lt;500,"",IF((I13-I12)&gt;0,-ABS((I13-I12)/(J13-I12)),MIN(1,ABS((I13-I12)/(J13-I12))))),IF(ABS((I13-I12))&lt;500,1,MIN(1,500/ABS((I13-I12))))))</f>
        <v/>
      </c>
      <c r="N13">
        <f>IF(AND(ABS((I13-I12))&lt;500,ABS((J13-I12))&lt;500),1,IF(AND(ABS((I13-I12))&lt;500,ABS((J13-I12))&gt;=500),0,IF((I13-I12)*(J13-I12)&gt;0,1,0)))</f>
        <v/>
      </c>
      <c r="P13" s="6" t="n">
        <v>53800</v>
      </c>
      <c r="Q13" s="7" t="n">
        <v>53227.15</v>
      </c>
      <c r="R13">
        <f>ABS(P13-Q13)</f>
        <v/>
      </c>
      <c r="S13" s="8">
        <f>IF(P13=0,"-",1-ABS(P13-Q13)/P13)</f>
        <v/>
      </c>
      <c r="T13">
        <f>IF((Q13-P12)&gt;=500,IF(ABS((P13-P12))&lt;500,"",IF((P13-P12)&lt;0,-ABS((P13-P12)/(Q13-P12)),MIN(1,ABS((P13-P12)/(Q13-P12))))),IF((Q13-P12)&lt;=-500,IF(ABS((P13-P12))&lt;500,"",IF((P13-P12)&gt;0,-ABS((P13-P12)/(Q13-P12)),MIN(1,ABS((P13-P12)/(Q13-P12))))),IF(ABS((P13-P12))&lt;500,1,MIN(1,500/ABS((P13-P12))))))</f>
        <v/>
      </c>
      <c r="U13">
        <f>IF(AND(ABS((P13-P12))&lt;500,ABS((Q13-P12))&lt;500),1,IF(AND(ABS((P13-P12))&lt;500,ABS((Q13-P12))&gt;=500),0,IF((P13-P12)*(Q13-P12)&gt;0,1,0)))</f>
        <v/>
      </c>
      <c r="W13" s="6" t="n">
        <v>47120</v>
      </c>
      <c r="X13" s="7" t="n">
        <v>47848.543</v>
      </c>
      <c r="Y13">
        <f>ABS(W13-X13)</f>
        <v/>
      </c>
      <c r="Z13" s="8">
        <f>IF(W13=0,"-",1-ABS(W13-X13)/W13)</f>
        <v/>
      </c>
      <c r="AA13">
        <f>IF((X13-W12)&gt;=500,IF(ABS((W13-W12))&lt;500,"",IF((W13-W12)&lt;0,-ABS((W13-W12)/(X13-W12)),MIN(1,ABS((W13-W12)/(X13-W12))))),IF((X13-W12)&lt;=-500,IF(ABS((W13-W12))&lt;500,"",IF((W13-W12)&gt;0,-ABS((W13-W12)/(X13-W12)),MIN(1,ABS((W13-W12)/(X13-W12))))),IF(ABS((W13-W12))&lt;500,1,MIN(1,500/ABS((W13-W12))))))</f>
        <v/>
      </c>
      <c r="AB13">
        <f>IF(AND(ABS((W13-W12))&lt;500,ABS((X13-W12))&lt;500),1,IF(AND(ABS((W13-W12))&lt;500,ABS((X13-W12))&gt;=500),0,IF((W13-W12)*(X13-W12)&gt;0,1,0)))</f>
        <v/>
      </c>
      <c r="AD13" s="6" t="n">
        <v>41350</v>
      </c>
      <c r="AE13" s="7" t="n">
        <v>42279.117</v>
      </c>
      <c r="AF13">
        <f>ABS(AD13-AE13)</f>
        <v/>
      </c>
      <c r="AG13" s="8">
        <f>IF(AD13=0,"-",1-ABS(AD13-AE13)/AD13)</f>
        <v/>
      </c>
      <c r="AH13">
        <f>IF((AE13-AD12)&gt;=500,IF(ABS((AD13-AD12))&lt;500,"",IF((AD13-AD12)&lt;0,-ABS((AD13-AD12)/(AE13-AD12)),MIN(1,ABS((AD13-AD12)/(AE13-AD12))))),IF((AE13-AD12)&lt;=-500,IF(ABS((AD13-AD12))&lt;500,"",IF((AD13-AD12)&gt;0,-ABS((AD13-AD12)/(AE13-AD12)),MIN(1,ABS((AD13-AD12)/(AE13-AD12))))),IF(ABS((AD13-AD12))&lt;500,1,MIN(1,500/ABS((AD13-AD12))))))</f>
        <v/>
      </c>
      <c r="AI13">
        <f>IF(AND(ABS((AD13-AD12))&lt;500,ABS((AE13-AD12))&lt;500),1,IF(AND(ABS((AD13-AD12))&lt;500,ABS((AE13-AD12))&gt;=500),0,IF((AD13-AD12)*(AE13-AD12)&gt;0,1,0)))</f>
        <v/>
      </c>
      <c r="AK13" s="6" t="n">
        <v>47316.67</v>
      </c>
      <c r="AL13" s="7" t="n">
        <v>47881.25</v>
      </c>
      <c r="AM13">
        <f>ABS(AK13-AL13)</f>
        <v/>
      </c>
      <c r="AN13" s="8">
        <f>IF(AK13=0,"-",1-ABS(AK13-AL13)/AK13)</f>
        <v/>
      </c>
      <c r="AO13">
        <f>IF((AL13-AK12)&gt;=500,IF(ABS((AK13-AK12))&lt;500,"",IF((AK13-AK12)&lt;0,-ABS((AK13-AK12)/(AL13-AK12)),MIN(1,ABS((AK13-AK12)/(AL13-AK12))))),IF((AL13-AK12)&lt;=-500,IF(ABS((AK13-AK12))&lt;500,"",IF((AK13-AK12)&gt;0,-ABS((AK13-AK12)/(AL13-AK12)),MIN(1,ABS((AK13-AK12)/(AL13-AK12))))),IF(ABS((AK13-AK12))&lt;500,1,MIN(1,500/ABS((AK13-AK12))))))</f>
        <v/>
      </c>
      <c r="AP13">
        <f>IF(AND(ABS((AK13-AK12))&lt;500,ABS((AL13-AK12))&lt;500),1,IF(AND(ABS((AK13-AK12))&lt;500,ABS((AL13-AK12))&gt;=500),0,IF((AK13-AK12)*(AL13-AK12)&gt;0,1,0)))</f>
        <v/>
      </c>
    </row>
    <row r="14">
      <c r="A14" s="5" t="n">
        <v>45634</v>
      </c>
      <c r="B14" s="6" t="n">
        <v>48200</v>
      </c>
      <c r="C14" s="7" t="n">
        <v>48912.523</v>
      </c>
      <c r="D14">
        <f>ABS(B14-C14)</f>
        <v/>
      </c>
      <c r="E14" s="8">
        <f>IF(B14=0,"-",1-ABS(B14-C14)/B14)</f>
        <v/>
      </c>
      <c r="F14">
        <f>IF((C14-B13)&gt;=500,IF(ABS((B14-B13))&lt;500,"",IF((B14-B13)&lt;0,-ABS((B14-B13)/(C14-B13)),MIN(1,ABS((B14-B13)/(C14-B13))))),IF((C14-B13)&lt;=-500,IF(ABS((B14-B13))&lt;500,"",IF((B14-B13)&gt;0,-ABS((B14-B13)/(C14-B13)),MIN(1,ABS((B14-B13)/(C14-B13))))),IF(ABS((B14-B13))&lt;500,1,MIN(1,500/ABS((B14-B13))))))</f>
        <v/>
      </c>
      <c r="G14">
        <f>IF(AND(ABS((B14-B13))&lt;500,ABS((C14-B13))&lt;500),1,IF(AND(ABS((B14-B13))&lt;500,ABS((C14-B13))&gt;=500),0,IF((B14-B13)*(C14-B13)&gt;0,1,0)))</f>
        <v/>
      </c>
      <c r="I14" s="6" t="n">
        <v>47350</v>
      </c>
      <c r="J14" s="7" t="n">
        <v>47694.246</v>
      </c>
      <c r="K14">
        <f>ABS(I14-J14)</f>
        <v/>
      </c>
      <c r="L14" s="8">
        <f>IF(I14=0,"-",1-ABS(I14-J14)/I14)</f>
        <v/>
      </c>
      <c r="M14">
        <f>IF((J14-I13)&gt;=500,IF(ABS((I14-I13))&lt;500,"",IF((I14-I13)&lt;0,-ABS((I14-I13)/(J14-I13)),MIN(1,ABS((I14-I13)/(J14-I13))))),IF((J14-I13)&lt;=-500,IF(ABS((I14-I13))&lt;500,"",IF((I14-I13)&gt;0,-ABS((I14-I13)/(J14-I13)),MIN(1,ABS((I14-I13)/(J14-I13))))),IF(ABS((I14-I13))&lt;500,1,MIN(1,500/ABS((I14-I13))))))</f>
        <v/>
      </c>
      <c r="N14">
        <f>IF(AND(ABS((I14-I13))&lt;500,ABS((J14-I13))&lt;500),1,IF(AND(ABS((I14-I13))&lt;500,ABS((J14-I13))&gt;=500),0,IF((I14-I13)*(J14-I13)&gt;0,1,0)))</f>
        <v/>
      </c>
      <c r="P14" s="6" t="n">
        <v>53000</v>
      </c>
      <c r="Q14" s="7" t="n">
        <v>52968.125</v>
      </c>
      <c r="R14">
        <f>ABS(P14-Q14)</f>
        <v/>
      </c>
      <c r="S14" s="8">
        <f>IF(P14=0,"-",1-ABS(P14-Q14)/P14)</f>
        <v/>
      </c>
      <c r="T14">
        <f>IF((Q14-P13)&gt;=500,IF(ABS((P14-P13))&lt;500,"",IF((P14-P13)&lt;0,-ABS((P14-P13)/(Q14-P13)),MIN(1,ABS((P14-P13)/(Q14-P13))))),IF((Q14-P13)&lt;=-500,IF(ABS((P14-P13))&lt;500,"",IF((P14-P13)&gt;0,-ABS((P14-P13)/(Q14-P13)),MIN(1,ABS((P14-P13)/(Q14-P13))))),IF(ABS((P14-P13))&lt;500,1,MIN(1,500/ABS((P14-P13))))))</f>
        <v/>
      </c>
      <c r="U14">
        <f>IF(AND(ABS((P14-P13))&lt;500,ABS((Q14-P13))&lt;500),1,IF(AND(ABS((P14-P13))&lt;500,ABS((Q14-P13))&gt;=500),0,IF((P14-P13)*(Q14-P13)&gt;0,1,0)))</f>
        <v/>
      </c>
      <c r="W14" s="6" t="n">
        <v>47066.67</v>
      </c>
      <c r="X14" s="7" t="n">
        <v>47445.367</v>
      </c>
      <c r="Y14">
        <f>ABS(W14-X14)</f>
        <v/>
      </c>
      <c r="Z14" s="8">
        <f>IF(W14=0,"-",1-ABS(W14-X14)/W14)</f>
        <v/>
      </c>
      <c r="AA14">
        <f>IF((X14-W13)&gt;=500,IF(ABS((W14-W13))&lt;500,"",IF((W14-W13)&lt;0,-ABS((W14-W13)/(X14-W13)),MIN(1,ABS((W14-W13)/(X14-W13))))),IF((X14-W13)&lt;=-500,IF(ABS((W14-W13))&lt;500,"",IF((W14-W13)&gt;0,-ABS((W14-W13)/(X14-W13)),MIN(1,ABS((W14-W13)/(X14-W13))))),IF(ABS((W14-W13))&lt;500,1,MIN(1,500/ABS((W14-W13))))))</f>
        <v/>
      </c>
      <c r="AB14">
        <f>IF(AND(ABS((W14-W13))&lt;500,ABS((X14-W13))&lt;500),1,IF(AND(ABS((W14-W13))&lt;500,ABS((X14-W13))&gt;=500),0,IF((W14-W13)*(X14-W13)&gt;0,1,0)))</f>
        <v/>
      </c>
      <c r="AD14" s="6" t="n">
        <v>41850</v>
      </c>
      <c r="AE14" s="7" t="n">
        <v>41631.25</v>
      </c>
      <c r="AF14">
        <f>ABS(AD14-AE14)</f>
        <v/>
      </c>
      <c r="AG14" s="8">
        <f>IF(AD14=0,"-",1-ABS(AD14-AE14)/AD14)</f>
        <v/>
      </c>
      <c r="AH14">
        <f>IF((AE14-AD13)&gt;=500,IF(ABS((AD14-AD13))&lt;500,"",IF((AD14-AD13)&lt;0,-ABS((AD14-AD13)/(AE14-AD13)),MIN(1,ABS((AD14-AD13)/(AE14-AD13))))),IF((AE14-AD13)&lt;=-500,IF(ABS((AD14-AD13))&lt;500,"",IF((AD14-AD13)&gt;0,-ABS((AD14-AD13)/(AE14-AD13)),MIN(1,ABS((AD14-AD13)/(AE14-AD13))))),IF(ABS((AD14-AD13))&lt;500,1,MIN(1,500/ABS((AD14-AD13))))))</f>
        <v/>
      </c>
      <c r="AI14">
        <f>IF(AND(ABS((AD14-AD13))&lt;500,ABS((AE14-AD13))&lt;500),1,IF(AND(ABS((AD14-AD13))&lt;500,ABS((AE14-AD13))&gt;=500),0,IF((AD14-AD13)*(AE14-AD13)&gt;0,1,0)))</f>
        <v/>
      </c>
      <c r="AK14" s="6" t="n">
        <v>47033.33</v>
      </c>
      <c r="AL14" s="7" t="n">
        <v>47388.61</v>
      </c>
      <c r="AM14">
        <f>ABS(AK14-AL14)</f>
        <v/>
      </c>
      <c r="AN14" s="8">
        <f>IF(AK14=0,"-",1-ABS(AK14-AL14)/AK14)</f>
        <v/>
      </c>
      <c r="AO14">
        <f>IF((AL14-AK13)&gt;=500,IF(ABS((AK14-AK13))&lt;500,"",IF((AK14-AK13)&lt;0,-ABS((AK14-AK13)/(AL14-AK13)),MIN(1,ABS((AK14-AK13)/(AL14-AK13))))),IF((AL14-AK13)&lt;=-500,IF(ABS((AK14-AK13))&lt;500,"",IF((AK14-AK13)&gt;0,-ABS((AK14-AK13)/(AL14-AK13)),MIN(1,ABS((AK14-AK13)/(AL14-AK13))))),IF(ABS((AK14-AK13))&lt;500,1,MIN(1,500/ABS((AK14-AK13))))))</f>
        <v/>
      </c>
      <c r="AP14">
        <f>IF(AND(ABS((AK14-AK13))&lt;500,ABS((AL14-AK13))&lt;500),1,IF(AND(ABS((AK14-AK13))&lt;500,ABS((AL14-AK13))&gt;=500),0,IF((AK14-AK13)*(AL14-AK13)&gt;0,1,0)))</f>
        <v/>
      </c>
    </row>
    <row r="15">
      <c r="A15" s="5" t="n">
        <v>45641</v>
      </c>
      <c r="B15" s="6" t="n">
        <v>48200</v>
      </c>
      <c r="C15" s="7" t="n">
        <v>48631.633</v>
      </c>
      <c r="D15">
        <f>ABS(B15-C15)</f>
        <v/>
      </c>
      <c r="E15" s="8">
        <f>IF(B15=0,"-",1-ABS(B15-C15)/B15)</f>
        <v/>
      </c>
      <c r="F15">
        <f>IF((C15-B14)&gt;=500,IF(ABS((B15-B14))&lt;500,"",IF((B15-B14)&lt;0,-ABS((B15-B14)/(C15-B14)),MIN(1,ABS((B15-B14)/(C15-B14))))),IF((C15-B14)&lt;=-500,IF(ABS((B15-B14))&lt;500,"",IF((B15-B14)&gt;0,-ABS((B15-B14)/(C15-B14)),MIN(1,ABS((B15-B14)/(C15-B14))))),IF(ABS((B15-B14))&lt;500,1,MIN(1,500/ABS((B15-B14))))))</f>
        <v/>
      </c>
      <c r="G15">
        <f>IF(AND(ABS((B15-B14))&lt;500,ABS((C15-B14))&lt;500),1,IF(AND(ABS((B15-B14))&lt;500,ABS((C15-B14))&gt;=500),0,IF((B15-B14)*(C15-B14)&gt;0,1,0)))</f>
        <v/>
      </c>
      <c r="I15" s="6" t="n">
        <v>47100</v>
      </c>
      <c r="J15" s="7" t="n">
        <v>47096.668</v>
      </c>
      <c r="K15">
        <f>ABS(I15-J15)</f>
        <v/>
      </c>
      <c r="L15" s="8">
        <f>IF(I15=0,"-",1-ABS(I15-J15)/I15)</f>
        <v/>
      </c>
      <c r="M15">
        <f>IF((J15-I14)&gt;=500,IF(ABS((I15-I14))&lt;500,"",IF((I15-I14)&lt;0,-ABS((I15-I14)/(J15-I14)),MIN(1,ABS((I15-I14)/(J15-I14))))),IF((J15-I14)&lt;=-500,IF(ABS((I15-I14))&lt;500,"",IF((I15-I14)&gt;0,-ABS((I15-I14)/(J15-I14)),MIN(1,ABS((I15-I14)/(J15-I14))))),IF(ABS((I15-I14))&lt;500,1,MIN(1,500/ABS((I15-I14))))))</f>
        <v/>
      </c>
      <c r="N15">
        <f>IF(AND(ABS((I15-I14))&lt;500,ABS((J15-I14))&lt;500),1,IF(AND(ABS((I15-I14))&lt;500,ABS((J15-I14))&gt;=500),0,IF((I15-I14)*(J15-I14)&gt;0,1,0)))</f>
        <v/>
      </c>
      <c r="P15" s="6" t="n">
        <v>52400</v>
      </c>
      <c r="Q15" s="7" t="n">
        <v>52369.777</v>
      </c>
      <c r="R15">
        <f>ABS(P15-Q15)</f>
        <v/>
      </c>
      <c r="S15" s="8">
        <f>IF(P15=0,"-",1-ABS(P15-Q15)/P15)</f>
        <v/>
      </c>
      <c r="T15">
        <f>IF((Q15-P14)&gt;=500,IF(ABS((P15-P14))&lt;500,"",IF((P15-P14)&lt;0,-ABS((P15-P14)/(Q15-P14)),MIN(1,ABS((P15-P14)/(Q15-P14))))),IF((Q15-P14)&lt;=-500,IF(ABS((P15-P14))&lt;500,"",IF((P15-P14)&gt;0,-ABS((P15-P14)/(Q15-P14)),MIN(1,ABS((P15-P14)/(Q15-P14))))),IF(ABS((P15-P14))&lt;500,1,MIN(1,500/ABS((P15-P14))))))</f>
        <v/>
      </c>
      <c r="U15">
        <f>IF(AND(ABS((P15-P14))&lt;500,ABS((Q15-P14))&lt;500),1,IF(AND(ABS((P15-P14))&lt;500,ABS((Q15-P14))&gt;=500),0,IF((P15-P14)*(Q15-P14)&gt;0,1,0)))</f>
        <v/>
      </c>
      <c r="W15" s="6" t="n">
        <v>46583.33</v>
      </c>
      <c r="X15" s="7" t="n">
        <v>47373.41</v>
      </c>
      <c r="Y15">
        <f>ABS(W15-X15)</f>
        <v/>
      </c>
      <c r="Z15" s="8">
        <f>IF(W15=0,"-",1-ABS(W15-X15)/W15)</f>
        <v/>
      </c>
      <c r="AA15">
        <f>IF((X15-W14)&gt;=500,IF(ABS((W15-W14))&lt;500,"",IF((W15-W14)&lt;0,-ABS((W15-W14)/(X15-W14)),MIN(1,ABS((W15-W14)/(X15-W14))))),IF((X15-W14)&lt;=-500,IF(ABS((W15-W14))&lt;500,"",IF((W15-W14)&gt;0,-ABS((W15-W14)/(X15-W14)),MIN(1,ABS((W15-W14)/(X15-W14))))),IF(ABS((W15-W14))&lt;500,1,MIN(1,500/ABS((W15-W14))))))</f>
        <v/>
      </c>
      <c r="AB15">
        <f>IF(AND(ABS((W15-W14))&lt;500,ABS((X15-W14))&lt;500),1,IF(AND(ABS((W15-W14))&lt;500,ABS((X15-W14))&gt;=500),0,IF((W15-W14)*(X15-W14)&gt;0,1,0)))</f>
        <v/>
      </c>
      <c r="AD15" s="6" t="n">
        <v>42050</v>
      </c>
      <c r="AE15" s="7" t="n">
        <v>42302.336</v>
      </c>
      <c r="AF15">
        <f>ABS(AD15-AE15)</f>
        <v/>
      </c>
      <c r="AG15" s="8">
        <f>IF(AD15=0,"-",1-ABS(AD15-AE15)/AD15)</f>
        <v/>
      </c>
      <c r="AH15">
        <f>IF((AE15-AD14)&gt;=500,IF(ABS((AD15-AD14))&lt;500,"",IF((AD15-AD14)&lt;0,-ABS((AD15-AD14)/(AE15-AD14)),MIN(1,ABS((AD15-AD14)/(AE15-AD14))))),IF((AE15-AD14)&lt;=-500,IF(ABS((AD15-AD14))&lt;500,"",IF((AD15-AD14)&gt;0,-ABS((AD15-AD14)/(AE15-AD14)),MIN(1,ABS((AD15-AD14)/(AE15-AD14))))),IF(ABS((AD15-AD14))&lt;500,1,MIN(1,500/ABS((AD15-AD14))))))</f>
        <v/>
      </c>
      <c r="AI15">
        <f>IF(AND(ABS((AD15-AD14))&lt;500,ABS((AE15-AD14))&lt;500),1,IF(AND(ABS((AD15-AD14))&lt;500,ABS((AE15-AD14))&gt;=500),0,IF((AD15-AD14)*(AE15-AD14)&gt;0,1,0)))</f>
        <v/>
      </c>
      <c r="AK15" s="6" t="n">
        <v>46983.33</v>
      </c>
      <c r="AL15" s="7" t="n">
        <v>47121.195</v>
      </c>
      <c r="AM15">
        <f>ABS(AK15-AL15)</f>
        <v/>
      </c>
      <c r="AN15" s="8">
        <f>IF(AK15=0,"-",1-ABS(AK15-AL15)/AK15)</f>
        <v/>
      </c>
      <c r="AO15">
        <f>IF((AL15-AK14)&gt;=500,IF(ABS((AK15-AK14))&lt;500,"",IF((AK15-AK14)&lt;0,-ABS((AK15-AK14)/(AL15-AK14)),MIN(1,ABS((AK15-AK14)/(AL15-AK14))))),IF((AL15-AK14)&lt;=-500,IF(ABS((AK15-AK14))&lt;500,"",IF((AK15-AK14)&gt;0,-ABS((AK15-AK14)/(AL15-AK14)),MIN(1,ABS((AK15-AK14)/(AL15-AK14))))),IF(ABS((AK15-AK14))&lt;500,1,MIN(1,500/ABS((AK15-AK14))))))</f>
        <v/>
      </c>
      <c r="AP15">
        <f>IF(AND(ABS((AK15-AK14))&lt;500,ABS((AL15-AK14))&lt;500),1,IF(AND(ABS((AK15-AK14))&lt;500,ABS((AL15-AK14))&gt;=500),0,IF((AK15-AK14)*(AL15-AK14)&gt;0,1,0)))</f>
        <v/>
      </c>
    </row>
    <row r="16">
      <c r="A16" s="5" t="n">
        <v>45648</v>
      </c>
      <c r="B16" s="6" t="n">
        <v>48200</v>
      </c>
      <c r="C16" s="7" t="n">
        <v>48657.56</v>
      </c>
      <c r="D16">
        <f>ABS(B16-C16)</f>
        <v/>
      </c>
      <c r="E16" s="8">
        <f>IF(B16=0,"-",1-ABS(B16-C16)/B16)</f>
        <v/>
      </c>
      <c r="F16">
        <f>IF((C16-B15)&gt;=500,IF(ABS((B16-B15))&lt;500,"",IF((B16-B15)&lt;0,-ABS((B16-B15)/(C16-B15)),MIN(1,ABS((B16-B15)/(C16-B15))))),IF((C16-B15)&lt;=-500,IF(ABS((B16-B15))&lt;500,"",IF((B16-B15)&gt;0,-ABS((B16-B15)/(C16-B15)),MIN(1,ABS((B16-B15)/(C16-B15))))),IF(ABS((B16-B15))&lt;500,1,MIN(1,500/ABS((B16-B15))))))</f>
        <v/>
      </c>
      <c r="G16">
        <f>IF(AND(ABS((B16-B15))&lt;500,ABS((C16-B15))&lt;500),1,IF(AND(ABS((B16-B15))&lt;500,ABS((C16-B15))&gt;=500),0,IF((B16-B15)*(C16-B15)&gt;0,1,0)))</f>
        <v/>
      </c>
      <c r="H16" s="9">
        <f>COUNTIF(G16:G27,1)&amp;"/"&amp;COUNT(G16:G27)</f>
        <v/>
      </c>
      <c r="I16" s="6" t="n">
        <v>46550</v>
      </c>
      <c r="J16" s="7" t="n">
        <v>46900.816</v>
      </c>
      <c r="K16">
        <f>ABS(I16-J16)</f>
        <v/>
      </c>
      <c r="L16" s="8">
        <f>IF(I16=0,"-",1-ABS(I16-J16)/I16)</f>
        <v/>
      </c>
      <c r="M16">
        <f>IF((J16-I15)&gt;=500,IF(ABS((I16-I15))&lt;500,"",IF((I16-I15)&lt;0,-ABS((I16-I15)/(J16-I15)),MIN(1,ABS((I16-I15)/(J16-I15))))),IF((J16-I15)&lt;=-500,IF(ABS((I16-I15))&lt;500,"",IF((I16-I15)&gt;0,-ABS((I16-I15)/(J16-I15)),MIN(1,ABS((I16-I15)/(J16-I15))))),IF(ABS((I16-I15))&lt;500,1,MIN(1,500/ABS((I16-I15))))))</f>
        <v/>
      </c>
      <c r="N16">
        <f>IF(AND(ABS((I16-I15))&lt;500,ABS((J16-I15))&lt;500),1,IF(AND(ABS((I16-I15))&lt;500,ABS((J16-I15))&gt;=500),0,IF((I16-I15)*(J16-I15)&gt;0,1,0)))</f>
        <v/>
      </c>
      <c r="O16" s="9">
        <f>COUNTIF(N16:N27,1)&amp;"/"&amp;COUNT(N16:N27)</f>
        <v/>
      </c>
      <c r="P16" s="6" t="n">
        <v>52300</v>
      </c>
      <c r="Q16" s="7" t="n">
        <v>52342.87</v>
      </c>
      <c r="R16">
        <f>ABS(P16-Q16)</f>
        <v/>
      </c>
      <c r="S16" s="8">
        <f>IF(P16=0,"-",1-ABS(P16-Q16)/P16)</f>
        <v/>
      </c>
      <c r="T16">
        <f>IF((Q16-P15)&gt;=500,IF(ABS((P16-P15))&lt;500,"",IF((P16-P15)&lt;0,-ABS((P16-P15)/(Q16-P15)),MIN(1,ABS((P16-P15)/(Q16-P15))))),IF((Q16-P15)&lt;=-500,IF(ABS((P16-P15))&lt;500,"",IF((P16-P15)&gt;0,-ABS((P16-P15)/(Q16-P15)),MIN(1,ABS((P16-P15)/(Q16-P15))))),IF(ABS((P16-P15))&lt;500,1,MIN(1,500/ABS((P16-P15))))))</f>
        <v/>
      </c>
      <c r="U16">
        <f>IF(AND(ABS((P16-P15))&lt;500,ABS((Q16-P15))&lt;500),1,IF(AND(ABS((P16-P15))&lt;500,ABS((Q16-P15))&gt;=500),0,IF((P16-P15)*(Q16-P15)&gt;0,1,0)))</f>
        <v/>
      </c>
      <c r="V16" s="9">
        <f>COUNTIF(U16:U27,1)&amp;"/"&amp;COUNT(U16:U27)</f>
        <v/>
      </c>
      <c r="W16" s="6" t="n">
        <v>46433.33</v>
      </c>
      <c r="X16" s="7" t="n">
        <v>46562.03</v>
      </c>
      <c r="Y16">
        <f>ABS(W16-X16)</f>
        <v/>
      </c>
      <c r="Z16" s="8">
        <f>IF(W16=0,"-",1-ABS(W16-X16)/W16)</f>
        <v/>
      </c>
      <c r="AA16">
        <f>IF((X16-W15)&gt;=500,IF(ABS((W16-W15))&lt;500,"",IF((W16-W15)&lt;0,-ABS((W16-W15)/(X16-W15)),MIN(1,ABS((W16-W15)/(X16-W15))))),IF((X16-W15)&lt;=-500,IF(ABS((W16-W15))&lt;500,"",IF((W16-W15)&gt;0,-ABS((W16-W15)/(X16-W15)),MIN(1,ABS((W16-W15)/(X16-W15))))),IF(ABS((W16-W15))&lt;500,1,MIN(1,500/ABS((W16-W15))))))</f>
        <v/>
      </c>
      <c r="AB16">
        <f>IF(AND(ABS((W16-W15))&lt;500,ABS((X16-W15))&lt;500),1,IF(AND(ABS((W16-W15))&lt;500,ABS((X16-W15))&gt;=500),0,IF((W16-W15)*(X16-W15)&gt;0,1,0)))</f>
        <v/>
      </c>
      <c r="AC16" s="9">
        <f>COUNTIF(AB16:AB27,1)&amp;"/"&amp;COUNT(AB16:AB27)</f>
        <v/>
      </c>
      <c r="AD16" s="6" t="n">
        <v>41633.33</v>
      </c>
      <c r="AE16" s="7" t="n">
        <v>42084.32</v>
      </c>
      <c r="AF16">
        <f>ABS(AD16-AE16)</f>
        <v/>
      </c>
      <c r="AG16" s="8">
        <f>IF(AD16=0,"-",1-ABS(AD16-AE16)/AD16)</f>
        <v/>
      </c>
      <c r="AH16">
        <f>IF((AE16-AD15)&gt;=500,IF(ABS((AD16-AD15))&lt;500,"",IF((AD16-AD15)&lt;0,-ABS((AD16-AD15)/(AE16-AD15)),MIN(1,ABS((AD16-AD15)/(AE16-AD15))))),IF((AE16-AD15)&lt;=-500,IF(ABS((AD16-AD15))&lt;500,"",IF((AD16-AD15)&gt;0,-ABS((AD16-AD15)/(AE16-AD15)),MIN(1,ABS((AD16-AD15)/(AE16-AD15))))),IF(ABS((AD16-AD15))&lt;500,1,MIN(1,500/ABS((AD16-AD15))))))</f>
        <v/>
      </c>
      <c r="AI16">
        <f>IF(AND(ABS((AD16-AD15))&lt;500,ABS((AE16-AD15))&lt;500),1,IF(AND(ABS((AD16-AD15))&lt;500,ABS((AE16-AD15))&gt;=500),0,IF((AD16-AD15)*(AE16-AD15)&gt;0,1,0)))</f>
        <v/>
      </c>
      <c r="AJ16" s="9">
        <f>COUNTIF(AI16:AI27,1)&amp;"/"&amp;COUNT(AI16:AI27)</f>
        <v/>
      </c>
      <c r="AK16" s="6" t="n">
        <v>47466.67</v>
      </c>
      <c r="AL16" s="7" t="n">
        <v>47061.332</v>
      </c>
      <c r="AM16">
        <f>ABS(AK16-AL16)</f>
        <v/>
      </c>
      <c r="AN16" s="8">
        <f>IF(AK16=0,"-",1-ABS(AK16-AL16)/AK16)</f>
        <v/>
      </c>
      <c r="AO16">
        <f>IF((AL16-AK15)&gt;=500,IF(ABS((AK16-AK15))&lt;500,"",IF((AK16-AK15)&lt;0,-ABS((AK16-AK15)/(AL16-AK15)),MIN(1,ABS((AK16-AK15)/(AL16-AK15))))),IF((AL16-AK15)&lt;=-500,IF(ABS((AK16-AK15))&lt;500,"",IF((AK16-AK15)&gt;0,-ABS((AK16-AK15)/(AL16-AK15)),MIN(1,ABS((AK16-AK15)/(AL16-AK15))))),IF(ABS((AK16-AK15))&lt;500,1,MIN(1,500/ABS((AK16-AK15))))))</f>
        <v/>
      </c>
      <c r="AP16">
        <f>IF(AND(ABS((AK16-AK15))&lt;500,ABS((AL16-AK15))&lt;500),1,IF(AND(ABS((AK16-AK15))&lt;500,ABS((AL16-AK15))&gt;=500),0,IF((AK16-AK15)*(AL16-AK15)&gt;0,1,0)))</f>
        <v/>
      </c>
      <c r="AQ16" s="9">
        <f>COUNTIF(AP16:AP27,1)&amp;"/"&amp;COUNT(AP16:AP27)</f>
        <v/>
      </c>
    </row>
    <row r="17">
      <c r="A17" s="5" t="n">
        <v>45655</v>
      </c>
      <c r="B17" s="6" t="n">
        <v>48100</v>
      </c>
      <c r="C17" s="7" t="n">
        <v>48588.383</v>
      </c>
      <c r="D17">
        <f>ABS(B17-C17)</f>
        <v/>
      </c>
      <c r="E17" s="8">
        <f>IF(B17=0,"-",1-ABS(B17-C17)/B17)</f>
        <v/>
      </c>
      <c r="F17">
        <f>IF((C17-B16)&gt;=500,IF(ABS((B17-B16))&lt;500,"",IF((B17-B16)&lt;0,-ABS((B17-B16)/(C17-B16)),MIN(1,ABS((B17-B16)/(C17-B16))))),IF((C17-B16)&lt;=-500,IF(ABS((B17-B16))&lt;500,"",IF((B17-B16)&gt;0,-ABS((B17-B16)/(C17-B16)),MIN(1,ABS((B17-B16)/(C17-B16))))),IF(ABS((B17-B16))&lt;500,1,MIN(1,500/ABS((B17-B16))))))</f>
        <v/>
      </c>
      <c r="G17">
        <f>IF(AND(ABS((B17-B16))&lt;500,ABS((C17-B16))&lt;500),1,IF(AND(ABS((B17-B16))&lt;500,ABS((C17-B16))&gt;=500),0,IF((B17-B16)*(C17-B16)&gt;0,1,0)))</f>
        <v/>
      </c>
      <c r="I17" s="6" t="n">
        <v>46700</v>
      </c>
      <c r="J17" s="7" t="n">
        <v>46337.19</v>
      </c>
      <c r="K17">
        <f>ABS(I17-J17)</f>
        <v/>
      </c>
      <c r="L17" s="8">
        <f>IF(I17=0,"-",1-ABS(I17-J17)/I17)</f>
        <v/>
      </c>
      <c r="M17">
        <f>IF((J17-I16)&gt;=500,IF(ABS((I17-I16))&lt;500,"",IF((I17-I16)&lt;0,-ABS((I17-I16)/(J17-I16)),MIN(1,ABS((I17-I16)/(J17-I16))))),IF((J17-I16)&lt;=-500,IF(ABS((I17-I16))&lt;500,"",IF((I17-I16)&gt;0,-ABS((I17-I16)/(J17-I16)),MIN(1,ABS((I17-I16)/(J17-I16))))),IF(ABS((I17-I16))&lt;500,1,MIN(1,500/ABS((I17-I16))))))</f>
        <v/>
      </c>
      <c r="N17">
        <f>IF(AND(ABS((I17-I16))&lt;500,ABS((J17-I16))&lt;500),1,IF(AND(ABS((I17-I16))&lt;500,ABS((J17-I16))&gt;=500),0,IF((I17-I16)*(J17-I16)&gt;0,1,0)))</f>
        <v/>
      </c>
      <c r="P17" s="6" t="n">
        <v>52600</v>
      </c>
      <c r="Q17" s="7" t="n">
        <v>52204.58</v>
      </c>
      <c r="R17">
        <f>ABS(P17-Q17)</f>
        <v/>
      </c>
      <c r="S17" s="8">
        <f>IF(P17=0,"-",1-ABS(P17-Q17)/P17)</f>
        <v/>
      </c>
      <c r="T17">
        <f>IF((Q17-P16)&gt;=500,IF(ABS((P17-P16))&lt;500,"",IF((P17-P16)&lt;0,-ABS((P17-P16)/(Q17-P16)),MIN(1,ABS((P17-P16)/(Q17-P16))))),IF((Q17-P16)&lt;=-500,IF(ABS((P17-P16))&lt;500,"",IF((P17-P16)&gt;0,-ABS((P17-P16)/(Q17-P16)),MIN(1,ABS((P17-P16)/(Q17-P16))))),IF(ABS((P17-P16))&lt;500,1,MIN(1,500/ABS((P17-P16))))))</f>
        <v/>
      </c>
      <c r="U17">
        <f>IF(AND(ABS((P17-P16))&lt;500,ABS((Q17-P16))&lt;500),1,IF(AND(ABS((P17-P16))&lt;500,ABS((Q17-P16))&gt;=500),0,IF((P17-P16)*(Q17-P16)&gt;0,1,0)))</f>
        <v/>
      </c>
      <c r="W17" s="6" t="n">
        <v>47200</v>
      </c>
      <c r="X17" s="7" t="n">
        <v>46448.938</v>
      </c>
      <c r="Y17">
        <f>ABS(W17-X17)</f>
        <v/>
      </c>
      <c r="Z17" s="8">
        <f>IF(W17=0,"-",1-ABS(W17-X17)/W17)</f>
        <v/>
      </c>
      <c r="AA17">
        <f>IF((X17-W16)&gt;=500,IF(ABS((W17-W16))&lt;500,"",IF((W17-W16)&lt;0,-ABS((W17-W16)/(X17-W16)),MIN(1,ABS((W17-W16)/(X17-W16))))),IF((X17-W16)&lt;=-500,IF(ABS((W17-W16))&lt;500,"",IF((W17-W16)&gt;0,-ABS((W17-W16)/(X17-W16)),MIN(1,ABS((W17-W16)/(X17-W16))))),IF(ABS((W17-W16))&lt;500,1,MIN(1,500/ABS((W17-W16))))))</f>
        <v/>
      </c>
      <c r="AB17">
        <f>IF(AND(ABS((W17-W16))&lt;500,ABS((X17-W16))&lt;500),1,IF(AND(ABS((W17-W16))&lt;500,ABS((X17-W16))&gt;=500),0,IF((W17-W16)*(X17-W16)&gt;0,1,0)))</f>
        <v/>
      </c>
      <c r="AD17" s="6" t="n">
        <v>42383.33</v>
      </c>
      <c r="AE17" s="7" t="n">
        <v>41705.68</v>
      </c>
      <c r="AF17">
        <f>ABS(AD17-AE17)</f>
        <v/>
      </c>
      <c r="AG17" s="8">
        <f>IF(AD17=0,"-",1-ABS(AD17-AE17)/AD17)</f>
        <v/>
      </c>
      <c r="AH17">
        <f>IF((AE17-AD16)&gt;=500,IF(ABS((AD17-AD16))&lt;500,"",IF((AD17-AD16)&lt;0,-ABS((AD17-AD16)/(AE17-AD16)),MIN(1,ABS((AD17-AD16)/(AE17-AD16))))),IF((AE17-AD16)&lt;=-500,IF(ABS((AD17-AD16))&lt;500,"",IF((AD17-AD16)&gt;0,-ABS((AD17-AD16)/(AE17-AD16)),MIN(1,ABS((AD17-AD16)/(AE17-AD16))))),IF(ABS((AD17-AD16))&lt;500,1,MIN(1,500/ABS((AD17-AD16))))))</f>
        <v/>
      </c>
      <c r="AI17">
        <f>IF(AND(ABS((AD17-AD16))&lt;500,ABS((AE17-AD16))&lt;500),1,IF(AND(ABS((AD17-AD16))&lt;500,ABS((AE17-AD16))&gt;=500),0,IF((AD17-AD16)*(AE17-AD16)&gt;0,1,0)))</f>
        <v/>
      </c>
      <c r="AK17" s="6" t="n">
        <v>47100</v>
      </c>
      <c r="AL17" s="7" t="n">
        <v>47526.58</v>
      </c>
      <c r="AM17">
        <f>ABS(AK17-AL17)</f>
        <v/>
      </c>
      <c r="AN17" s="8">
        <f>IF(AK17=0,"-",1-ABS(AK17-AL17)/AK17)</f>
        <v/>
      </c>
      <c r="AO17">
        <f>IF((AL17-AK16)&gt;=500,IF(ABS((AK17-AK16))&lt;500,"",IF((AK17-AK16)&lt;0,-ABS((AK17-AK16)/(AL17-AK16)),MIN(1,ABS((AK17-AK16)/(AL17-AK16))))),IF((AL17-AK16)&lt;=-500,IF(ABS((AK17-AK16))&lt;500,"",IF((AK17-AK16)&gt;0,-ABS((AK17-AK16)/(AL17-AK16)),MIN(1,ABS((AK17-AK16)/(AL17-AK16))))),IF(ABS((AK17-AK16))&lt;500,1,MIN(1,500/ABS((AK17-AK16))))))</f>
        <v/>
      </c>
      <c r="AP17">
        <f>IF(AND(ABS((AK17-AK16))&lt;500,ABS((AL17-AK16))&lt;500),1,IF(AND(ABS((AK17-AK16))&lt;500,ABS((AL17-AK16))&gt;=500),0,IF((AK17-AK16)*(AL17-AK16)&gt;0,1,0)))</f>
        <v/>
      </c>
    </row>
    <row r="18">
      <c r="A18" s="5" t="n">
        <v>45662</v>
      </c>
      <c r="B18" s="6" t="n">
        <v>48100</v>
      </c>
      <c r="C18" s="7" t="n">
        <v>48378.535</v>
      </c>
      <c r="D18">
        <f>ABS(B18-C18)</f>
        <v/>
      </c>
      <c r="E18" s="8">
        <f>IF(B18=0,"-",1-ABS(B18-C18)/B18)</f>
        <v/>
      </c>
      <c r="F18">
        <f>IF((C18-B17)&gt;=500,IF(ABS((B18-B17))&lt;500,"",IF((B18-B17)&lt;0,-ABS((B18-B17)/(C18-B17)),MIN(1,ABS((B18-B17)/(C18-B17))))),IF((C18-B17)&lt;=-500,IF(ABS((B18-B17))&lt;500,"",IF((B18-B17)&gt;0,-ABS((B18-B17)/(C18-B17)),MIN(1,ABS((B18-B17)/(C18-B17))))),IF(ABS((B18-B17))&lt;500,1,MIN(1,500/ABS((B18-B17))))))</f>
        <v/>
      </c>
      <c r="G18">
        <f>IF(AND(ABS((B18-B17))&lt;500,ABS((C18-B17))&lt;500),1,IF(AND(ABS((B18-B17))&lt;500,ABS((C18-B17))&gt;=500),0,IF((B18-B17)*(C18-B17)&gt;0,1,0)))</f>
        <v/>
      </c>
      <c r="I18" s="6" t="n">
        <v>46600</v>
      </c>
      <c r="J18" s="7" t="n">
        <v>46630.332</v>
      </c>
      <c r="K18">
        <f>ABS(I18-J18)</f>
        <v/>
      </c>
      <c r="L18" s="8">
        <f>IF(I18=0,"-",1-ABS(I18-J18)/I18)</f>
        <v/>
      </c>
      <c r="M18">
        <f>IF((J18-I17)&gt;=500,IF(ABS((I18-I17))&lt;500,"",IF((I18-I17)&lt;0,-ABS((I18-I17)/(J18-I17)),MIN(1,ABS((I18-I17)/(J18-I17))))),IF((J18-I17)&lt;=-500,IF(ABS((I18-I17))&lt;500,"",IF((I18-I17)&gt;0,-ABS((I18-I17)/(J18-I17)),MIN(1,ABS((I18-I17)/(J18-I17))))),IF(ABS((I18-I17))&lt;500,1,MIN(1,500/ABS((I18-I17))))))</f>
        <v/>
      </c>
      <c r="N18">
        <f>IF(AND(ABS((I18-I17))&lt;500,ABS((J18-I17))&lt;500),1,IF(AND(ABS((I18-I17))&lt;500,ABS((J18-I17))&gt;=500),0,IF((I18-I17)*(J18-I17)&gt;0,1,0)))</f>
        <v/>
      </c>
      <c r="P18" s="6" t="n">
        <v>52500</v>
      </c>
      <c r="Q18" s="7" t="n">
        <v>52408</v>
      </c>
      <c r="R18">
        <f>ABS(P18-Q18)</f>
        <v/>
      </c>
      <c r="S18" s="8">
        <f>IF(P18=0,"-",1-ABS(P18-Q18)/P18)</f>
        <v/>
      </c>
      <c r="T18">
        <f>IF((Q18-P17)&gt;=500,IF(ABS((P18-P17))&lt;500,"",IF((P18-P17)&lt;0,-ABS((P18-P17)/(Q18-P17)),MIN(1,ABS((P18-P17)/(Q18-P17))))),IF((Q18-P17)&lt;=-500,IF(ABS((P18-P17))&lt;500,"",IF((P18-P17)&gt;0,-ABS((P18-P17)/(Q18-P17)),MIN(1,ABS((P18-P17)/(Q18-P17))))),IF(ABS((P18-P17))&lt;500,1,MIN(1,500/ABS((P18-P17))))))</f>
        <v/>
      </c>
      <c r="U18">
        <f>IF(AND(ABS((P18-P17))&lt;500,ABS((Q18-P17))&lt;500),1,IF(AND(ABS((P18-P17))&lt;500,ABS((Q18-P17))&gt;=500),0,IF((P18-P17)*(Q18-P17)&gt;0,1,0)))</f>
        <v/>
      </c>
      <c r="W18" s="6" t="n">
        <v>47300</v>
      </c>
      <c r="X18" s="7" t="n">
        <v>47315.03</v>
      </c>
      <c r="Y18">
        <f>ABS(W18-X18)</f>
        <v/>
      </c>
      <c r="Z18" s="8">
        <f>IF(W18=0,"-",1-ABS(W18-X18)/W18)</f>
        <v/>
      </c>
      <c r="AA18">
        <f>IF((X18-W17)&gt;=500,IF(ABS((W18-W17))&lt;500,"",IF((W18-W17)&lt;0,-ABS((W18-W17)/(X18-W17)),MIN(1,ABS((W18-W17)/(X18-W17))))),IF((X18-W17)&lt;=-500,IF(ABS((W18-W17))&lt;500,"",IF((W18-W17)&gt;0,-ABS((W18-W17)/(X18-W17)),MIN(1,ABS((W18-W17)/(X18-W17))))),IF(ABS((W18-W17))&lt;500,1,MIN(1,500/ABS((W18-W17))))))</f>
        <v/>
      </c>
      <c r="AB18">
        <f>IF(AND(ABS((W18-W17))&lt;500,ABS((X18-W17))&lt;500),1,IF(AND(ABS((W18-W17))&lt;500,ABS((X18-W17))&gt;=500),0,IF((W18-W17)*(X18-W17)&gt;0,1,0)))</f>
        <v/>
      </c>
      <c r="AD18" s="6" t="n">
        <v>41900</v>
      </c>
      <c r="AE18" s="7" t="n">
        <v>42364.59</v>
      </c>
      <c r="AF18">
        <f>ABS(AD18-AE18)</f>
        <v/>
      </c>
      <c r="AG18" s="8">
        <f>IF(AD18=0,"-",1-ABS(AD18-AE18)/AD18)</f>
        <v/>
      </c>
      <c r="AH18">
        <f>IF((AE18-AD17)&gt;=500,IF(ABS((AD18-AD17))&lt;500,"",IF((AD18-AD17)&lt;0,-ABS((AD18-AD17)/(AE18-AD17)),MIN(1,ABS((AD18-AD17)/(AE18-AD17))))),IF((AE18-AD17)&lt;=-500,IF(ABS((AD18-AD17))&lt;500,"",IF((AD18-AD17)&gt;0,-ABS((AD18-AD17)/(AE18-AD17)),MIN(1,ABS((AD18-AD17)/(AE18-AD17))))),IF(ABS((AD18-AD17))&lt;500,1,MIN(1,500/ABS((AD18-AD17))))))</f>
        <v/>
      </c>
      <c r="AI18">
        <f>IF(AND(ABS((AD18-AD17))&lt;500,ABS((AE18-AD17))&lt;500),1,IF(AND(ABS((AD18-AD17))&lt;500,ABS((AE18-AD17))&gt;=500),0,IF((AD18-AD17)*(AE18-AD17)&gt;0,1,0)))</f>
        <v/>
      </c>
      <c r="AK18" s="6" t="n">
        <v>47400</v>
      </c>
      <c r="AL18" s="7" t="n">
        <v>47311.223</v>
      </c>
      <c r="AM18">
        <f>ABS(AK18-AL18)</f>
        <v/>
      </c>
      <c r="AN18" s="8">
        <f>IF(AK18=0,"-",1-ABS(AK18-AL18)/AK18)</f>
        <v/>
      </c>
      <c r="AO18">
        <f>IF((AL18-AK17)&gt;=500,IF(ABS((AK18-AK17))&lt;500,"",IF((AK18-AK17)&lt;0,-ABS((AK18-AK17)/(AL18-AK17)),MIN(1,ABS((AK18-AK17)/(AL18-AK17))))),IF((AL18-AK17)&lt;=-500,IF(ABS((AK18-AK17))&lt;500,"",IF((AK18-AK17)&gt;0,-ABS((AK18-AK17)/(AL18-AK17)),MIN(1,ABS((AK18-AK17)/(AL18-AK17))))),IF(ABS((AK18-AK17))&lt;500,1,MIN(1,500/ABS((AK18-AK17))))))</f>
        <v/>
      </c>
      <c r="AP18">
        <f>IF(AND(ABS((AK18-AK17))&lt;500,ABS((AL18-AK17))&lt;500),1,IF(AND(ABS((AK18-AK17))&lt;500,ABS((AL18-AK17))&gt;=500),0,IF((AK18-AK17)*(AL18-AK17)&gt;0,1,0)))</f>
        <v/>
      </c>
    </row>
    <row r="19">
      <c r="A19" s="5" t="n">
        <v>45669</v>
      </c>
      <c r="B19" s="6" t="n">
        <v>48200</v>
      </c>
      <c r="C19" s="7" t="n">
        <v>48402.957</v>
      </c>
      <c r="D19">
        <f>ABS(B19-C19)</f>
        <v/>
      </c>
      <c r="E19" s="8">
        <f>IF(B19=0,"-",1-ABS(B19-C19)/B19)</f>
        <v/>
      </c>
      <c r="F19">
        <f>IF((C19-B18)&gt;=500,IF(ABS((B19-B18))&lt;500,"",IF((B19-B18)&lt;0,-ABS((B19-B18)/(C19-B18)),MIN(1,ABS((B19-B18)/(C19-B18))))),IF((C19-B18)&lt;=-500,IF(ABS((B19-B18))&lt;500,"",IF((B19-B18)&gt;0,-ABS((B19-B18)/(C19-B18)),MIN(1,ABS((B19-B18)/(C19-B18))))),IF(ABS((B19-B18))&lt;500,1,MIN(1,500/ABS((B19-B18))))))</f>
        <v/>
      </c>
      <c r="G19">
        <f>IF(AND(ABS((B19-B18))&lt;500,ABS((C19-B18))&lt;500),1,IF(AND(ABS((B19-B18))&lt;500,ABS((C19-B18))&gt;=500),0,IF((B19-B18)*(C19-B18)&gt;0,1,0)))</f>
        <v/>
      </c>
      <c r="I19" s="6" t="n">
        <v>46600</v>
      </c>
      <c r="J19" s="7" t="n">
        <v>46582.4</v>
      </c>
      <c r="K19">
        <f>ABS(I19-J19)</f>
        <v/>
      </c>
      <c r="L19" s="8">
        <f>IF(I19=0,"-",1-ABS(I19-J19)/I19)</f>
        <v/>
      </c>
      <c r="M19">
        <f>IF((J19-I18)&gt;=500,IF(ABS((I19-I18))&lt;500,"",IF((I19-I18)&lt;0,-ABS((I19-I18)/(J19-I18)),MIN(1,ABS((I19-I18)/(J19-I18))))),IF((J19-I18)&lt;=-500,IF(ABS((I19-I18))&lt;500,"",IF((I19-I18)&gt;0,-ABS((I19-I18)/(J19-I18)),MIN(1,ABS((I19-I18)/(J19-I18))))),IF(ABS((I19-I18))&lt;500,1,MIN(1,500/ABS((I19-I18))))))</f>
        <v/>
      </c>
      <c r="N19">
        <f>IF(AND(ABS((I19-I18))&lt;500,ABS((J19-I18))&lt;500),1,IF(AND(ABS((I19-I18))&lt;500,ABS((J19-I18))&gt;=500),0,IF((I19-I18)*(J19-I18)&gt;0,1,0)))</f>
        <v/>
      </c>
      <c r="P19" s="6" t="n">
        <v>52200</v>
      </c>
      <c r="Q19" s="7" t="n">
        <v>52336.883</v>
      </c>
      <c r="R19">
        <f>ABS(P19-Q19)</f>
        <v/>
      </c>
      <c r="S19" s="8">
        <f>IF(P19=0,"-",1-ABS(P19-Q19)/P19)</f>
        <v/>
      </c>
      <c r="T19">
        <f>IF((Q19-P18)&gt;=500,IF(ABS((P19-P18))&lt;500,"",IF((P19-P18)&lt;0,-ABS((P19-P18)/(Q19-P18)),MIN(1,ABS((P19-P18)/(Q19-P18))))),IF((Q19-P18)&lt;=-500,IF(ABS((P19-P18))&lt;500,"",IF((P19-P18)&gt;0,-ABS((P19-P18)/(Q19-P18)),MIN(1,ABS((P19-P18)/(Q19-P18))))),IF(ABS((P19-P18))&lt;500,1,MIN(1,500/ABS((P19-P18))))))</f>
        <v/>
      </c>
      <c r="U19">
        <f>IF(AND(ABS((P19-P18))&lt;500,ABS((Q19-P18))&lt;500),1,IF(AND(ABS((P19-P18))&lt;500,ABS((Q19-P18))&gt;=500),0,IF((P19-P18)*(Q19-P18)&gt;0,1,0)))</f>
        <v/>
      </c>
      <c r="W19" s="6" t="n">
        <v>47475</v>
      </c>
      <c r="X19" s="7" t="n">
        <v>47557.08</v>
      </c>
      <c r="Y19">
        <f>ABS(W19-X19)</f>
        <v/>
      </c>
      <c r="Z19" s="8">
        <f>IF(W19=0,"-",1-ABS(W19-X19)/W19)</f>
        <v/>
      </c>
      <c r="AA19">
        <f>IF((X19-W18)&gt;=500,IF(ABS((W19-W18))&lt;500,"",IF((W19-W18)&lt;0,-ABS((W19-W18)/(X19-W18)),MIN(1,ABS((W19-W18)/(X19-W18))))),IF((X19-W18)&lt;=-500,IF(ABS((W19-W18))&lt;500,"",IF((W19-W18)&gt;0,-ABS((W19-W18)/(X19-W18)),MIN(1,ABS((W19-W18)/(X19-W18))))),IF(ABS((W19-W18))&lt;500,1,MIN(1,500/ABS((W19-W18))))))</f>
        <v/>
      </c>
      <c r="AB19">
        <f>IF(AND(ABS((W19-W18))&lt;500,ABS((X19-W18))&lt;500),1,IF(AND(ABS((W19-W18))&lt;500,ABS((X19-W18))&gt;=500),0,IF((W19-W18)*(X19-W18)&gt;0,1,0)))</f>
        <v/>
      </c>
      <c r="AD19" s="6" t="n">
        <v>42325</v>
      </c>
      <c r="AE19" s="7" t="n">
        <v>41995.05</v>
      </c>
      <c r="AF19">
        <f>ABS(AD19-AE19)</f>
        <v/>
      </c>
      <c r="AG19" s="8">
        <f>IF(AD19=0,"-",1-ABS(AD19-AE19)/AD19)</f>
        <v/>
      </c>
      <c r="AH19">
        <f>IF((AE19-AD18)&gt;=500,IF(ABS((AD19-AD18))&lt;500,"",IF((AD19-AD18)&lt;0,-ABS((AD19-AD18)/(AE19-AD18)),MIN(1,ABS((AD19-AD18)/(AE19-AD18))))),IF((AE19-AD18)&lt;=-500,IF(ABS((AD19-AD18))&lt;500,"",IF((AD19-AD18)&gt;0,-ABS((AD19-AD18)/(AE19-AD18)),MIN(1,ABS((AD19-AD18)/(AE19-AD18))))),IF(ABS((AD19-AD18))&lt;500,1,MIN(1,500/ABS((AD19-AD18))))))</f>
        <v/>
      </c>
      <c r="AI19">
        <f>IF(AND(ABS((AD19-AD18))&lt;500,ABS((AE19-AD18))&lt;500),1,IF(AND(ABS((AD19-AD18))&lt;500,ABS((AE19-AD18))&gt;=500),0,IF((AD19-AD18)*(AE19-AD18)&gt;0,1,0)))</f>
        <v/>
      </c>
      <c r="AK19" s="6" t="n">
        <v>46850</v>
      </c>
      <c r="AL19" s="7" t="n">
        <v>47838.227</v>
      </c>
      <c r="AM19">
        <f>ABS(AK19-AL19)</f>
        <v/>
      </c>
      <c r="AN19" s="8">
        <f>IF(AK19=0,"-",1-ABS(AK19-AL19)/AK19)</f>
        <v/>
      </c>
      <c r="AO19">
        <f>IF((AL19-AK18)&gt;=500,IF(ABS((AK19-AK18))&lt;500,"",IF((AK19-AK18)&lt;0,-ABS((AK19-AK18)/(AL19-AK18)),MIN(1,ABS((AK19-AK18)/(AL19-AK18))))),IF((AL19-AK18)&lt;=-500,IF(ABS((AK19-AK18))&lt;500,"",IF((AK19-AK18)&gt;0,-ABS((AK19-AK18)/(AL19-AK18)),MIN(1,ABS((AK19-AK18)/(AL19-AK18))))),IF(ABS((AK19-AK18))&lt;500,1,MIN(1,500/ABS((AK19-AK18))))))</f>
        <v/>
      </c>
      <c r="AP19">
        <f>IF(AND(ABS((AK19-AK18))&lt;500,ABS((AL19-AK18))&lt;500),1,IF(AND(ABS((AK19-AK18))&lt;500,ABS((AL19-AK18))&gt;=500),0,IF((AK19-AK18)*(AL19-AK18)&gt;0,1,0)))</f>
        <v/>
      </c>
    </row>
    <row r="20">
      <c r="A20" s="5" t="n">
        <v>45676</v>
      </c>
      <c r="B20" s="6" t="n">
        <v>48500</v>
      </c>
      <c r="C20" s="7" t="n">
        <v>48487.87</v>
      </c>
      <c r="D20">
        <f>ABS(B20-C20)</f>
        <v/>
      </c>
      <c r="E20" s="8">
        <f>IF(B20=0,"-",1-ABS(B20-C20)/B20)</f>
        <v/>
      </c>
      <c r="F20">
        <f>IF((C20-B19)&gt;=500,IF(ABS((B20-B19))&lt;500,"",IF((B20-B19)&lt;0,-ABS((B20-B19)/(C20-B19)),MIN(1,ABS((B20-B19)/(C20-B19))))),IF((C20-B19)&lt;=-500,IF(ABS((B20-B19))&lt;500,"",IF((B20-B19)&gt;0,-ABS((B20-B19)/(C20-B19)),MIN(1,ABS((B20-B19)/(C20-B19))))),IF(ABS((B20-B19))&lt;500,1,MIN(1,500/ABS((B20-B19))))))</f>
        <v/>
      </c>
      <c r="G20">
        <f>IF(AND(ABS((B20-B19))&lt;500,ABS((C20-B19))&lt;500),1,IF(AND(ABS((B20-B19))&lt;500,ABS((C20-B19))&gt;=500),0,IF((B20-B19)*(C20-B19)&gt;0,1,0)))</f>
        <v/>
      </c>
      <c r="I20" s="6" t="n">
        <v>46500</v>
      </c>
      <c r="J20" s="7" t="n">
        <v>46454.82</v>
      </c>
      <c r="K20">
        <f>ABS(I20-J20)</f>
        <v/>
      </c>
      <c r="L20" s="8">
        <f>IF(I20=0,"-",1-ABS(I20-J20)/I20)</f>
        <v/>
      </c>
      <c r="M20">
        <f>IF((J20-I19)&gt;=500,IF(ABS((I20-I19))&lt;500,"",IF((I20-I19)&lt;0,-ABS((I20-I19)/(J20-I19)),MIN(1,ABS((I20-I19)/(J20-I19))))),IF((J20-I19)&lt;=-500,IF(ABS((I20-I19))&lt;500,"",IF((I20-I19)&gt;0,-ABS((I20-I19)/(J20-I19)),MIN(1,ABS((I20-I19)/(J20-I19))))),IF(ABS((I20-I19))&lt;500,1,MIN(1,500/ABS((I20-I19))))))</f>
        <v/>
      </c>
      <c r="N20">
        <f>IF(AND(ABS((I20-I19))&lt;500,ABS((J20-I19))&lt;500),1,IF(AND(ABS((I20-I19))&lt;500,ABS((J20-I19))&gt;=500),0,IF((I20-I19)*(J20-I19)&gt;0,1,0)))</f>
        <v/>
      </c>
      <c r="P20" s="6" t="n">
        <v>52200</v>
      </c>
      <c r="Q20" s="7" t="n">
        <v>52113.46</v>
      </c>
      <c r="R20">
        <f>ABS(P20-Q20)</f>
        <v/>
      </c>
      <c r="S20" s="8">
        <f>IF(P20=0,"-",1-ABS(P20-Q20)/P20)</f>
        <v/>
      </c>
      <c r="T20">
        <f>IF((Q20-P19)&gt;=500,IF(ABS((P20-P19))&lt;500,"",IF((P20-P19)&lt;0,-ABS((P20-P19)/(Q20-P19)),MIN(1,ABS((P20-P19)/(Q20-P19))))),IF((Q20-P19)&lt;=-500,IF(ABS((P20-P19))&lt;500,"",IF((P20-P19)&gt;0,-ABS((P20-P19)/(Q20-P19)),MIN(1,ABS((P20-P19)/(Q20-P19))))),IF(ABS((P20-P19))&lt;500,1,MIN(1,500/ABS((P20-P19))))))</f>
        <v/>
      </c>
      <c r="U20">
        <f>IF(AND(ABS((P20-P19))&lt;500,ABS((Q20-P19))&lt;500),1,IF(AND(ABS((P20-P19))&lt;500,ABS((Q20-P19))&gt;=500),0,IF((P20-P19)*(Q20-P19)&gt;0,1,0)))</f>
        <v/>
      </c>
      <c r="W20" s="6" t="n">
        <v>47066.67</v>
      </c>
      <c r="X20" s="7" t="n">
        <v>47810.105</v>
      </c>
      <c r="Y20">
        <f>ABS(W20-X20)</f>
        <v/>
      </c>
      <c r="Z20" s="8">
        <f>IF(W20=0,"-",1-ABS(W20-X20)/W20)</f>
        <v/>
      </c>
      <c r="AA20">
        <f>IF((X20-W19)&gt;=500,IF(ABS((W20-W19))&lt;500,"",IF((W20-W19)&lt;0,-ABS((W20-W19)/(X20-W19)),MIN(1,ABS((W20-W19)/(X20-W19))))),IF((X20-W19)&lt;=-500,IF(ABS((W20-W19))&lt;500,"",IF((W20-W19)&gt;0,-ABS((W20-W19)/(X20-W19)),MIN(1,ABS((W20-W19)/(X20-W19))))),IF(ABS((W20-W19))&lt;500,1,MIN(1,500/ABS((W20-W19))))))</f>
        <v/>
      </c>
      <c r="AB20">
        <f>IF(AND(ABS((W20-W19))&lt;500,ABS((X20-W19))&lt;500),1,IF(AND(ABS((W20-W19))&lt;500,ABS((X20-W19))&gt;=500),0,IF((W20-W19)*(X20-W19)&gt;0,1,0)))</f>
        <v/>
      </c>
      <c r="AD20" s="6" t="n">
        <v>41616.67</v>
      </c>
      <c r="AE20" s="7" t="n">
        <v>42339.902</v>
      </c>
      <c r="AF20">
        <f>ABS(AD20-AE20)</f>
        <v/>
      </c>
      <c r="AG20" s="8">
        <f>IF(AD20=0,"-",1-ABS(AD20-AE20)/AD20)</f>
        <v/>
      </c>
      <c r="AH20">
        <f>IF((AE20-AD19)&gt;=500,IF(ABS((AD20-AD19))&lt;500,"",IF((AD20-AD19)&lt;0,-ABS((AD20-AD19)/(AE20-AD19)),MIN(1,ABS((AD20-AD19)/(AE20-AD19))))),IF((AE20-AD19)&lt;=-500,IF(ABS((AD20-AD19))&lt;500,"",IF((AD20-AD19)&gt;0,-ABS((AD20-AD19)/(AE20-AD19)),MIN(1,ABS((AD20-AD19)/(AE20-AD19))))),IF(ABS((AD20-AD19))&lt;500,1,MIN(1,500/ABS((AD20-AD19))))))</f>
        <v/>
      </c>
      <c r="AI20">
        <f>IF(AND(ABS((AD20-AD19))&lt;500,ABS((AE20-AD19))&lt;500),1,IF(AND(ABS((AD20-AD19))&lt;500,ABS((AE20-AD19))&gt;=500),0,IF((AD20-AD19)*(AE20-AD19)&gt;0,1,0)))</f>
        <v/>
      </c>
      <c r="AK20" s="6" t="n">
        <v>46616.67</v>
      </c>
      <c r="AL20" s="7" t="n">
        <v>47395.035</v>
      </c>
      <c r="AM20">
        <f>ABS(AK20-AL20)</f>
        <v/>
      </c>
      <c r="AN20" s="8">
        <f>IF(AK20=0,"-",1-ABS(AK20-AL20)/AK20)</f>
        <v/>
      </c>
      <c r="AO20">
        <f>IF((AL20-AK19)&gt;=500,IF(ABS((AK20-AK19))&lt;500,"",IF((AK20-AK19)&lt;0,-ABS((AK20-AK19)/(AL20-AK19)),MIN(1,ABS((AK20-AK19)/(AL20-AK19))))),IF((AL20-AK19)&lt;=-500,IF(ABS((AK20-AK19))&lt;500,"",IF((AK20-AK19)&gt;0,-ABS((AK20-AK19)/(AL20-AK19)),MIN(1,ABS((AK20-AK19)/(AL20-AK19))))),IF(ABS((AK20-AK19))&lt;500,1,MIN(1,500/ABS((AK20-AK19))))))</f>
        <v/>
      </c>
      <c r="AP20">
        <f>IF(AND(ABS((AK20-AK19))&lt;500,ABS((AL20-AK19))&lt;500),1,IF(AND(ABS((AK20-AK19))&lt;500,ABS((AL20-AK19))&gt;=500),0,IF((AK20-AK19)*(AL20-AK19)&gt;0,1,0)))</f>
        <v/>
      </c>
    </row>
    <row r="21">
      <c r="A21" s="5" t="n">
        <v>45683</v>
      </c>
      <c r="B21" s="6" t="n">
        <v>48400</v>
      </c>
      <c r="C21" s="7" t="n">
        <v>48743.277</v>
      </c>
      <c r="D21">
        <f>ABS(B21-C21)</f>
        <v/>
      </c>
      <c r="E21" s="8">
        <f>IF(B21=0,"-",1-ABS(B21-C21)/B21)</f>
        <v/>
      </c>
      <c r="F21">
        <f>IF((C21-B20)&gt;=500,IF(ABS((B21-B20))&lt;500,"",IF((B21-B20)&lt;0,-ABS((B21-B20)/(C21-B20)),MIN(1,ABS((B21-B20)/(C21-B20))))),IF((C21-B20)&lt;=-500,IF(ABS((B21-B20))&lt;500,"",IF((B21-B20)&gt;0,-ABS((B21-B20)/(C21-B20)),MIN(1,ABS((B21-B20)/(C21-B20))))),IF(ABS((B21-B20))&lt;500,1,MIN(1,500/ABS((B21-B20))))))</f>
        <v/>
      </c>
      <c r="G21">
        <f>IF(AND(ABS((B21-B20))&lt;500,ABS((C21-B20))&lt;500),1,IF(AND(ABS((B21-B20))&lt;500,ABS((C21-B20))&gt;=500),0,IF((B21-B20)*(C21-B20)&gt;0,1,0)))</f>
        <v/>
      </c>
      <c r="I21" s="6" t="n">
        <v>47000</v>
      </c>
      <c r="J21" s="7" t="n">
        <v>46437.71</v>
      </c>
      <c r="K21">
        <f>ABS(I21-J21)</f>
        <v/>
      </c>
      <c r="L21" s="8">
        <f>IF(I21=0,"-",1-ABS(I21-J21)/I21)</f>
        <v/>
      </c>
      <c r="M21">
        <f>IF((J21-I20)&gt;=500,IF(ABS((I21-I20))&lt;500,"",IF((I21-I20)&lt;0,-ABS((I21-I20)/(J21-I20)),MIN(1,ABS((I21-I20)/(J21-I20))))),IF((J21-I20)&lt;=-500,IF(ABS((I21-I20))&lt;500,"",IF((I21-I20)&gt;0,-ABS((I21-I20)/(J21-I20)),MIN(1,ABS((I21-I20)/(J21-I20))))),IF(ABS((I21-I20))&lt;500,1,MIN(1,500/ABS((I21-I20))))))</f>
        <v/>
      </c>
      <c r="N21">
        <f>IF(AND(ABS((I21-I20))&lt;500,ABS((J21-I20))&lt;500),1,IF(AND(ABS((I21-I20))&lt;500,ABS((J21-I20))&gt;=500),0,IF((I21-I20)*(J21-I20)&gt;0,1,0)))</f>
        <v/>
      </c>
      <c r="P21" s="6" t="n">
        <v>52200</v>
      </c>
      <c r="Q21" s="7" t="n">
        <v>52282.066</v>
      </c>
      <c r="R21">
        <f>ABS(P21-Q21)</f>
        <v/>
      </c>
      <c r="S21" s="8">
        <f>IF(P21=0,"-",1-ABS(P21-Q21)/P21)</f>
        <v/>
      </c>
      <c r="T21">
        <f>IF((Q21-P20)&gt;=500,IF(ABS((P21-P20))&lt;500,"",IF((P21-P20)&lt;0,-ABS((P21-P20)/(Q21-P20)),MIN(1,ABS((P21-P20)/(Q21-P20))))),IF((Q21-P20)&lt;=-500,IF(ABS((P21-P20))&lt;500,"",IF((P21-P20)&gt;0,-ABS((P21-P20)/(Q21-P20)),MIN(1,ABS((P21-P20)/(Q21-P20))))),IF(ABS((P21-P20))&lt;500,1,MIN(1,500/ABS((P21-P20))))))</f>
        <v/>
      </c>
      <c r="U21">
        <f>IF(AND(ABS((P21-P20))&lt;500,ABS((Q21-P20))&lt;500),1,IF(AND(ABS((P21-P20))&lt;500,ABS((Q21-P20))&gt;=500),0,IF((P21-P20)*(Q21-P20)&gt;0,1,0)))</f>
        <v/>
      </c>
      <c r="W21" s="6" t="n">
        <v>46983.33</v>
      </c>
      <c r="X21" s="7" t="n">
        <v>47393.78</v>
      </c>
      <c r="Y21">
        <f>ABS(W21-X21)</f>
        <v/>
      </c>
      <c r="Z21" s="8">
        <f>IF(W21=0,"-",1-ABS(W21-X21)/W21)</f>
        <v/>
      </c>
      <c r="AA21">
        <f>IF((X21-W20)&gt;=500,IF(ABS((W21-W20))&lt;500,"",IF((W21-W20)&lt;0,-ABS((W21-W20)/(X21-W20)),MIN(1,ABS((W21-W20)/(X21-W20))))),IF((X21-W20)&lt;=-500,IF(ABS((W21-W20))&lt;500,"",IF((W21-W20)&gt;0,-ABS((W21-W20)/(X21-W20)),MIN(1,ABS((W21-W20)/(X21-W20))))),IF(ABS((W21-W20))&lt;500,1,MIN(1,500/ABS((W21-W20))))))</f>
        <v/>
      </c>
      <c r="AB21">
        <f>IF(AND(ABS((W21-W20))&lt;500,ABS((X21-W20))&lt;500),1,IF(AND(ABS((W21-W20))&lt;500,ABS((X21-W20))&gt;=500),0,IF((W21-W20)*(X21-W20)&gt;0,1,0)))</f>
        <v/>
      </c>
      <c r="AD21" s="6" t="n">
        <v>41533.33</v>
      </c>
      <c r="AE21" s="7" t="n">
        <v>41660.95</v>
      </c>
      <c r="AF21">
        <f>ABS(AD21-AE21)</f>
        <v/>
      </c>
      <c r="AG21" s="8">
        <f>IF(AD21=0,"-",1-ABS(AD21-AE21)/AD21)</f>
        <v/>
      </c>
      <c r="AH21">
        <f>IF((AE21-AD20)&gt;=500,IF(ABS((AD21-AD20))&lt;500,"",IF((AD21-AD20)&lt;0,-ABS((AD21-AD20)/(AE21-AD20)),MIN(1,ABS((AD21-AD20)/(AE21-AD20))))),IF((AE21-AD20)&lt;=-500,IF(ABS((AD21-AD20))&lt;500,"",IF((AD21-AD20)&gt;0,-ABS((AD21-AD20)/(AE21-AD20)),MIN(1,ABS((AD21-AD20)/(AE21-AD20))))),IF(ABS((AD21-AD20))&lt;500,1,MIN(1,500/ABS((AD21-AD20))))))</f>
        <v/>
      </c>
      <c r="AI21">
        <f>IF(AND(ABS((AD21-AD20))&lt;500,ABS((AE21-AD20))&lt;500),1,IF(AND(ABS((AD21-AD20))&lt;500,ABS((AE21-AD20))&gt;=500),0,IF((AD21-AD20)*(AE21-AD20)&gt;0,1,0)))</f>
        <v/>
      </c>
      <c r="AK21" s="6" t="n">
        <v>46400</v>
      </c>
      <c r="AL21" s="7" t="n">
        <v>47334.227</v>
      </c>
      <c r="AM21">
        <f>ABS(AK21-AL21)</f>
        <v/>
      </c>
      <c r="AN21" s="8">
        <f>IF(AK21=0,"-",1-ABS(AK21-AL21)/AK21)</f>
        <v/>
      </c>
      <c r="AO21">
        <f>IF((AL21-AK20)&gt;=500,IF(ABS((AK21-AK20))&lt;500,"",IF((AK21-AK20)&lt;0,-ABS((AK21-AK20)/(AL21-AK20)),MIN(1,ABS((AK21-AK20)/(AL21-AK20))))),IF((AL21-AK20)&lt;=-500,IF(ABS((AK21-AK20))&lt;500,"",IF((AK21-AK20)&gt;0,-ABS((AK21-AK20)/(AL21-AK20)),MIN(1,ABS((AK21-AK20)/(AL21-AK20))))),IF(ABS((AK21-AK20))&lt;500,1,MIN(1,500/ABS((AK21-AK20))))))</f>
        <v/>
      </c>
      <c r="AP21">
        <f>IF(AND(ABS((AK21-AK20))&lt;500,ABS((AL21-AK20))&lt;500),1,IF(AND(ABS((AK21-AK20))&lt;500,ABS((AL21-AK20))&gt;=500),0,IF((AK21-AK20)*(AL21-AK20)&gt;0,1,0)))</f>
        <v/>
      </c>
    </row>
    <row r="22">
      <c r="A22" s="5" t="n">
        <v>45690</v>
      </c>
      <c r="B22" s="6" t="n">
        <v>48600</v>
      </c>
      <c r="C22" s="7" t="n">
        <v>48659.43</v>
      </c>
      <c r="D22">
        <f>ABS(B22-C22)</f>
        <v/>
      </c>
      <c r="E22" s="8">
        <f>IF(B22=0,"-",1-ABS(B22-C22)/B22)</f>
        <v/>
      </c>
      <c r="F22">
        <f>IF((C22-B21)&gt;=500,IF(ABS((B22-B21))&lt;500,"",IF((B22-B21)&lt;0,-ABS((B22-B21)/(C22-B21)),MIN(1,ABS((B22-B21)/(C22-B21))))),IF((C22-B21)&lt;=-500,IF(ABS((B22-B21))&lt;500,"",IF((B22-B21)&gt;0,-ABS((B22-B21)/(C22-B21)),MIN(1,ABS((B22-B21)/(C22-B21))))),IF(ABS((B22-B21))&lt;500,1,MIN(1,500/ABS((B22-B21))))))</f>
        <v/>
      </c>
      <c r="G22">
        <f>IF(AND(ABS((B22-B21))&lt;500,ABS((C22-B21))&lt;500),1,IF(AND(ABS((B22-B21))&lt;500,ABS((C22-B21))&gt;=500),0,IF((B22-B21)*(C22-B21)&gt;0,1,0)))</f>
        <v/>
      </c>
      <c r="I22" s="6" t="n">
        <v>48300</v>
      </c>
      <c r="J22" s="7" t="n">
        <v>46977.156</v>
      </c>
      <c r="K22">
        <f>ABS(I22-J22)</f>
        <v/>
      </c>
      <c r="L22" s="8">
        <f>IF(I22=0,"-",1-ABS(I22-J22)/I22)</f>
        <v/>
      </c>
      <c r="M22">
        <f>IF((J22-I21)&gt;=500,IF(ABS((I22-I21))&lt;500,"",IF((I22-I21)&lt;0,-ABS((I22-I21)/(J22-I21)),MIN(1,ABS((I22-I21)/(J22-I21))))),IF((J22-I21)&lt;=-500,IF(ABS((I22-I21))&lt;500,"",IF((I22-I21)&gt;0,-ABS((I22-I21)/(J22-I21)),MIN(1,ABS((I22-I21)/(J22-I21))))),IF(ABS((I22-I21))&lt;500,1,MIN(1,500/ABS((I22-I21))))))</f>
        <v/>
      </c>
      <c r="N22">
        <f>IF(AND(ABS((I22-I21))&lt;500,ABS((J22-I21))&lt;500),1,IF(AND(ABS((I22-I21))&lt;500,ABS((J22-I21))&gt;=500),0,IF((I22-I21)*(J22-I21)&gt;0,1,0)))</f>
        <v/>
      </c>
      <c r="P22" s="6" t="n">
        <v>52700</v>
      </c>
      <c r="Q22" s="7" t="n">
        <v>52285.81</v>
      </c>
      <c r="R22">
        <f>ABS(P22-Q22)</f>
        <v/>
      </c>
      <c r="S22" s="8">
        <f>IF(P22=0,"-",1-ABS(P22-Q22)/P22)</f>
        <v/>
      </c>
      <c r="T22">
        <f>IF((Q22-P21)&gt;=500,IF(ABS((P22-P21))&lt;500,"",IF((P22-P21)&lt;0,-ABS((P22-P21)/(Q22-P21)),MIN(1,ABS((P22-P21)/(Q22-P21))))),IF((Q22-P21)&lt;=-500,IF(ABS((P22-P21))&lt;500,"",IF((P22-P21)&gt;0,-ABS((P22-P21)/(Q22-P21)),MIN(1,ABS((P22-P21)/(Q22-P21))))),IF(ABS((P22-P21))&lt;500,1,MIN(1,500/ABS((P22-P21))))))</f>
        <v/>
      </c>
      <c r="U22">
        <f>IF(AND(ABS((P22-P21))&lt;500,ABS((Q22-P21))&lt;500),1,IF(AND(ABS((P22-P21))&lt;500,ABS((Q22-P21))&gt;=500),0,IF((P22-P21)*(Q22-P21)&gt;0,1,0)))</f>
        <v/>
      </c>
      <c r="W22" s="6" t="n">
        <v>46900</v>
      </c>
      <c r="X22" s="7" t="n">
        <v>47159.715</v>
      </c>
      <c r="Y22">
        <f>ABS(W22-X22)</f>
        <v/>
      </c>
      <c r="Z22" s="8">
        <f>IF(W22=0,"-",1-ABS(W22-X22)/W22)</f>
        <v/>
      </c>
      <c r="AA22">
        <f>IF((X22-W21)&gt;=500,IF(ABS((W22-W21))&lt;500,"",IF((W22-W21)&lt;0,-ABS((W22-W21)/(X22-W21)),MIN(1,ABS((W22-W21)/(X22-W21))))),IF((X22-W21)&lt;=-500,IF(ABS((W22-W21))&lt;500,"",IF((W22-W21)&gt;0,-ABS((W22-W21)/(X22-W21)),MIN(1,ABS((W22-W21)/(X22-W21))))),IF(ABS((W22-W21))&lt;500,1,MIN(1,500/ABS((W22-W21))))))</f>
        <v/>
      </c>
      <c r="AB22">
        <f>IF(AND(ABS((W22-W21))&lt;500,ABS((X22-W21))&lt;500),1,IF(AND(ABS((W22-W21))&lt;500,ABS((X22-W21))&gt;=500),0,IF((W22-W21)*(X22-W21)&gt;0,1,0)))</f>
        <v/>
      </c>
      <c r="AD22" s="6" t="n">
        <v>41366.67</v>
      </c>
      <c r="AE22" s="7" t="n">
        <v>41439.117</v>
      </c>
      <c r="AF22">
        <f>ABS(AD22-AE22)</f>
        <v/>
      </c>
      <c r="AG22" s="8">
        <f>IF(AD22=0,"-",1-ABS(AD22-AE22)/AD22)</f>
        <v/>
      </c>
      <c r="AH22">
        <f>IF((AE22-AD21)&gt;=500,IF(ABS((AD22-AD21))&lt;500,"",IF((AD22-AD21)&lt;0,-ABS((AD22-AD21)/(AE22-AD21)),MIN(1,ABS((AD22-AD21)/(AE22-AD21))))),IF((AE22-AD21)&lt;=-500,IF(ABS((AD22-AD21))&lt;500,"",IF((AD22-AD21)&gt;0,-ABS((AD22-AD21)/(AE22-AD21)),MIN(1,ABS((AD22-AD21)/(AE22-AD21))))),IF(ABS((AD22-AD21))&lt;500,1,MIN(1,500/ABS((AD22-AD21))))))</f>
        <v/>
      </c>
      <c r="AI22">
        <f>IF(AND(ABS((AD22-AD21))&lt;500,ABS((AE22-AD21))&lt;500),1,IF(AND(ABS((AD22-AD21))&lt;500,ABS((AE22-AD21))&gt;=500),0,IF((AD22-AD21)*(AE22-AD21)&gt;0,1,0)))</f>
        <v/>
      </c>
      <c r="AK22" s="6" t="n">
        <v>47450</v>
      </c>
      <c r="AL22" s="7" t="n">
        <v>47180.543</v>
      </c>
      <c r="AM22">
        <f>ABS(AK22-AL22)</f>
        <v/>
      </c>
      <c r="AN22" s="8">
        <f>IF(AK22=0,"-",1-ABS(AK22-AL22)/AK22)</f>
        <v/>
      </c>
      <c r="AO22">
        <f>IF((AL22-AK21)&gt;=500,IF(ABS((AK22-AK21))&lt;500,"",IF((AK22-AK21)&lt;0,-ABS((AK22-AK21)/(AL22-AK21)),MIN(1,ABS((AK22-AK21)/(AL22-AK21))))),IF((AL22-AK21)&lt;=-500,IF(ABS((AK22-AK21))&lt;500,"",IF((AK22-AK21)&gt;0,-ABS((AK22-AK21)/(AL22-AK21)),MIN(1,ABS((AK22-AK21)/(AL22-AK21))))),IF(ABS((AK22-AK21))&lt;500,1,MIN(1,500/ABS((AK22-AK21))))))</f>
        <v/>
      </c>
      <c r="AP22">
        <f>IF(AND(ABS((AK22-AK21))&lt;500,ABS((AL22-AK21))&lt;500),1,IF(AND(ABS((AK22-AK21))&lt;500,ABS((AL22-AK21))&gt;=500),0,IF((AK22-AK21)*(AL22-AK21)&gt;0,1,0)))</f>
        <v/>
      </c>
    </row>
    <row r="23">
      <c r="A23" s="5" t="n">
        <v>45697</v>
      </c>
      <c r="B23" s="6" t="n">
        <v>49000</v>
      </c>
      <c r="C23" s="7" t="n">
        <v>48795.965</v>
      </c>
      <c r="D23">
        <f>ABS(B23-C23)</f>
        <v/>
      </c>
      <c r="E23" s="8">
        <f>IF(B23=0,"-",1-ABS(B23-C23)/B23)</f>
        <v/>
      </c>
      <c r="F23">
        <f>IF((C23-B22)&gt;=500,IF(ABS((B23-B22))&lt;500,"",IF((B23-B22)&lt;0,-ABS((B23-B22)/(C23-B22)),MIN(1,ABS((B23-B22)/(C23-B22))))),IF((C23-B22)&lt;=-500,IF(ABS((B23-B22))&lt;500,"",IF((B23-B22)&gt;0,-ABS((B23-B22)/(C23-B22)),MIN(1,ABS((B23-B22)/(C23-B22))))),IF(ABS((B23-B22))&lt;500,1,MIN(1,500/ABS((B23-B22))))))</f>
        <v/>
      </c>
      <c r="G23">
        <f>IF(AND(ABS((B23-B22))&lt;500,ABS((C23-B22))&lt;500),1,IF(AND(ABS((B23-B22))&lt;500,ABS((C23-B22))&gt;=500),0,IF((B23-B22)*(C23-B22)&gt;0,1,0)))</f>
        <v/>
      </c>
      <c r="I23" s="6" t="n">
        <v>48600</v>
      </c>
      <c r="J23" s="7" t="n">
        <v>48273.863</v>
      </c>
      <c r="K23">
        <f>ABS(I23-J23)</f>
        <v/>
      </c>
      <c r="L23" s="8">
        <f>IF(I23=0,"-",1-ABS(I23-J23)/I23)</f>
        <v/>
      </c>
      <c r="M23">
        <f>IF((J23-I22)&gt;=500,IF(ABS((I23-I22))&lt;500,"",IF((I23-I22)&lt;0,-ABS((I23-I22)/(J23-I22)),MIN(1,ABS((I23-I22)/(J23-I22))))),IF((J23-I22)&lt;=-500,IF(ABS((I23-I22))&lt;500,"",IF((I23-I22)&gt;0,-ABS((I23-I22)/(J23-I22)),MIN(1,ABS((I23-I22)/(J23-I22))))),IF(ABS((I23-I22))&lt;500,1,MIN(1,500/ABS((I23-I22))))))</f>
        <v/>
      </c>
      <c r="N23">
        <f>IF(AND(ABS((I23-I22))&lt;500,ABS((J23-I22))&lt;500),1,IF(AND(ABS((I23-I22))&lt;500,ABS((J23-I22))&gt;=500),0,IF((I23-I22)*(J23-I22)&gt;0,1,0)))</f>
        <v/>
      </c>
      <c r="P23" s="6" t="n">
        <v>52700</v>
      </c>
      <c r="Q23" s="7" t="n">
        <v>52831.18</v>
      </c>
      <c r="R23">
        <f>ABS(P23-Q23)</f>
        <v/>
      </c>
      <c r="S23" s="8">
        <f>IF(P23=0,"-",1-ABS(P23-Q23)/P23)</f>
        <v/>
      </c>
      <c r="T23">
        <f>IF((Q23-P22)&gt;=500,IF(ABS((P23-P22))&lt;500,"",IF((P23-P22)&lt;0,-ABS((P23-P22)/(Q23-P22)),MIN(1,ABS((P23-P22)/(Q23-P22))))),IF((Q23-P22)&lt;=-500,IF(ABS((P23-P22))&lt;500,"",IF((P23-P22)&gt;0,-ABS((P23-P22)/(Q23-P22)),MIN(1,ABS((P23-P22)/(Q23-P22))))),IF(ABS((P23-P22))&lt;500,1,MIN(1,500/ABS((P23-P22))))))</f>
        <v/>
      </c>
      <c r="U23">
        <f>IF(AND(ABS((P23-P22))&lt;500,ABS((Q23-P22))&lt;500),1,IF(AND(ABS((P23-P22))&lt;500,ABS((Q23-P22))&gt;=500),0,IF((P23-P22)*(Q23-P22)&gt;0,1,0)))</f>
        <v/>
      </c>
      <c r="W23" s="6" t="n">
        <v>47083.33</v>
      </c>
      <c r="X23" s="7" t="n">
        <v>47050.605</v>
      </c>
      <c r="Y23">
        <f>ABS(W23-X23)</f>
        <v/>
      </c>
      <c r="Z23" s="8">
        <f>IF(W23=0,"-",1-ABS(W23-X23)/W23)</f>
        <v/>
      </c>
      <c r="AA23">
        <f>IF((X23-W22)&gt;=500,IF(ABS((W23-W22))&lt;500,"",IF((W23-W22)&lt;0,-ABS((W23-W22)/(X23-W22)),MIN(1,ABS((W23-W22)/(X23-W22))))),IF((X23-W22)&lt;=-500,IF(ABS((W23-W22))&lt;500,"",IF((W23-W22)&gt;0,-ABS((W23-W22)/(X23-W22)),MIN(1,ABS((W23-W22)/(X23-W22))))),IF(ABS((W23-W22))&lt;500,1,MIN(1,500/ABS((W23-W22))))))</f>
        <v/>
      </c>
      <c r="AB23">
        <f>IF(AND(ABS((W23-W22))&lt;500,ABS((X23-W22))&lt;500),1,IF(AND(ABS((W23-W22))&lt;500,ABS((X23-W22))&gt;=500),0,IF((W23-W22)*(X23-W22)&gt;0,1,0)))</f>
        <v/>
      </c>
      <c r="AD23" s="6" t="n">
        <v>42183.33</v>
      </c>
      <c r="AE23" s="7" t="n">
        <v>41350.09</v>
      </c>
      <c r="AF23">
        <f>ABS(AD23-AE23)</f>
        <v/>
      </c>
      <c r="AG23" s="8">
        <f>IF(AD23=0,"-",1-ABS(AD23-AE23)/AD23)</f>
        <v/>
      </c>
      <c r="AH23">
        <f>IF((AE23-AD22)&gt;=500,IF(ABS((AD23-AD22))&lt;500,"",IF((AD23-AD22)&lt;0,-ABS((AD23-AD22)/(AE23-AD22)),MIN(1,ABS((AD23-AD22)/(AE23-AD22))))),IF((AE23-AD22)&lt;=-500,IF(ABS((AD23-AD22))&lt;500,"",IF((AD23-AD22)&gt;0,-ABS((AD23-AD22)/(AE23-AD22)),MIN(1,ABS((AD23-AD22)/(AE23-AD22))))),IF(ABS((AD23-AD22))&lt;500,1,MIN(1,500/ABS((AD23-AD22))))))</f>
        <v/>
      </c>
      <c r="AI23">
        <f>IF(AND(ABS((AD23-AD22))&lt;500,ABS((AE23-AD22))&lt;500),1,IF(AND(ABS((AD23-AD22))&lt;500,ABS((AE23-AD22))&gt;=500),0,IF((AD23-AD22)*(AE23-AD22)&gt;0,1,0)))</f>
        <v/>
      </c>
      <c r="AK23" s="6" t="n">
        <v>47166.67</v>
      </c>
      <c r="AL23" s="7" t="n">
        <v>48113.42</v>
      </c>
      <c r="AM23">
        <f>ABS(AK23-AL23)</f>
        <v/>
      </c>
      <c r="AN23" s="8">
        <f>IF(AK23=0,"-",1-ABS(AK23-AL23)/AK23)</f>
        <v/>
      </c>
      <c r="AO23">
        <f>IF((AL23-AK22)&gt;=500,IF(ABS((AK23-AK22))&lt;500,"",IF((AK23-AK22)&lt;0,-ABS((AK23-AK22)/(AL23-AK22)),MIN(1,ABS((AK23-AK22)/(AL23-AK22))))),IF((AL23-AK22)&lt;=-500,IF(ABS((AK23-AK22))&lt;500,"",IF((AK23-AK22)&gt;0,-ABS((AK23-AK22)/(AL23-AK22)),MIN(1,ABS((AK23-AK22)/(AL23-AK22))))),IF(ABS((AK23-AK22))&lt;500,1,MIN(1,500/ABS((AK23-AK22))))))</f>
        <v/>
      </c>
      <c r="AP23">
        <f>IF(AND(ABS((AK23-AK22))&lt;500,ABS((AL23-AK22))&lt;500),1,IF(AND(ABS((AK23-AK22))&lt;500,ABS((AL23-AK22))&gt;=500),0,IF((AK23-AK22)*(AL23-AK22)&gt;0,1,0)))</f>
        <v/>
      </c>
    </row>
    <row r="24">
      <c r="A24" s="5" t="n">
        <v>45704</v>
      </c>
      <c r="B24" s="6" t="n">
        <v>49000</v>
      </c>
      <c r="C24" s="7" t="n">
        <v>49154.062</v>
      </c>
      <c r="D24">
        <f>ABS(B24-C24)</f>
        <v/>
      </c>
      <c r="E24" s="8">
        <f>IF(B24=0,"-",1-ABS(B24-C24)/B24)</f>
        <v/>
      </c>
      <c r="F24">
        <f>IF((C24-B23)&gt;=500,IF(ABS((B24-B23))&lt;500,"",IF((B24-B23)&lt;0,-ABS((B24-B23)/(C24-B23)),MIN(1,ABS((B24-B23)/(C24-B23))))),IF((C24-B23)&lt;=-500,IF(ABS((B24-B23))&lt;500,"",IF((B24-B23)&gt;0,-ABS((B24-B23)/(C24-B23)),MIN(1,ABS((B24-B23)/(C24-B23))))),IF(ABS((B24-B23))&lt;500,1,MIN(1,500/ABS((B24-B23))))))</f>
        <v/>
      </c>
      <c r="G24">
        <f>IF(AND(ABS((B24-B23))&lt;500,ABS((C24-B23))&lt;500),1,IF(AND(ABS((B24-B23))&lt;500,ABS((C24-B23))&gt;=500),0,IF((B24-B23)*(C24-B23)&gt;0,1,0)))</f>
        <v/>
      </c>
      <c r="I24" s="6" t="n">
        <v>48500</v>
      </c>
      <c r="J24" s="7" t="n">
        <v>48448.402</v>
      </c>
      <c r="K24">
        <f>ABS(I24-J24)</f>
        <v/>
      </c>
      <c r="L24" s="8">
        <f>IF(I24=0,"-",1-ABS(I24-J24)/I24)</f>
        <v/>
      </c>
      <c r="M24">
        <f>IF((J24-I23)&gt;=500,IF(ABS((I24-I23))&lt;500,"",IF((I24-I23)&lt;0,-ABS((I24-I23)/(J24-I23)),MIN(1,ABS((I24-I23)/(J24-I23))))),IF((J24-I23)&lt;=-500,IF(ABS((I24-I23))&lt;500,"",IF((I24-I23)&gt;0,-ABS((I24-I23)/(J24-I23)),MIN(1,ABS((I24-I23)/(J24-I23))))),IF(ABS((I24-I23))&lt;500,1,MIN(1,500/ABS((I24-I23))))))</f>
        <v/>
      </c>
      <c r="N24">
        <f>IF(AND(ABS((I24-I23))&lt;500,ABS((J24-I23))&lt;500),1,IF(AND(ABS((I24-I23))&lt;500,ABS((J24-I23))&gt;=500),0,IF((I24-I23)*(J24-I23)&gt;0,1,0)))</f>
        <v/>
      </c>
      <c r="P24" s="6" t="n">
        <v>52600</v>
      </c>
      <c r="Q24" s="7" t="n">
        <v>52872.65</v>
      </c>
      <c r="R24">
        <f>ABS(P24-Q24)</f>
        <v/>
      </c>
      <c r="S24" s="8">
        <f>IF(P24=0,"-",1-ABS(P24-Q24)/P24)</f>
        <v/>
      </c>
      <c r="T24">
        <f>IF((Q24-P23)&gt;=500,IF(ABS((P24-P23))&lt;500,"",IF((P24-P23)&lt;0,-ABS((P24-P23)/(Q24-P23)),MIN(1,ABS((P24-P23)/(Q24-P23))))),IF((Q24-P23)&lt;=-500,IF(ABS((P24-P23))&lt;500,"",IF((P24-P23)&gt;0,-ABS((P24-P23)/(Q24-P23)),MIN(1,ABS((P24-P23)/(Q24-P23))))),IF(ABS((P24-P23))&lt;500,1,MIN(1,500/ABS((P24-P23))))))</f>
        <v/>
      </c>
      <c r="U24">
        <f>IF(AND(ABS((P24-P23))&lt;500,ABS((Q24-P23))&lt;500),1,IF(AND(ABS((P24-P23))&lt;500,ABS((Q24-P23))&gt;=500),0,IF((P24-P23)*(Q24-P23)&gt;0,1,0)))</f>
        <v/>
      </c>
      <c r="W24" s="6" t="n">
        <v>47066.67</v>
      </c>
      <c r="X24" s="7" t="n">
        <v>47233.582</v>
      </c>
      <c r="Y24">
        <f>ABS(W24-X24)</f>
        <v/>
      </c>
      <c r="Z24" s="8">
        <f>IF(W24=0,"-",1-ABS(W24-X24)/W24)</f>
        <v/>
      </c>
      <c r="AA24">
        <f>IF((X24-W23)&gt;=500,IF(ABS((W24-W23))&lt;500,"",IF((W24-W23)&lt;0,-ABS((W24-W23)/(X24-W23)),MIN(1,ABS((W24-W23)/(X24-W23))))),IF((X24-W23)&lt;=-500,IF(ABS((W24-W23))&lt;500,"",IF((W24-W23)&gt;0,-ABS((W24-W23)/(X24-W23)),MIN(1,ABS((W24-W23)/(X24-W23))))),IF(ABS((W24-W23))&lt;500,1,MIN(1,500/ABS((W24-W23))))))</f>
        <v/>
      </c>
      <c r="AB24">
        <f>IF(AND(ABS((W24-W23))&lt;500,ABS((X24-W23))&lt;500),1,IF(AND(ABS((W24-W23))&lt;500,ABS((X24-W23))&gt;=500),0,IF((W24-W23)*(X24-W23)&gt;0,1,0)))</f>
        <v/>
      </c>
      <c r="AD24" s="6" t="n">
        <v>41966.67</v>
      </c>
      <c r="AE24" s="7" t="n">
        <v>41976.22</v>
      </c>
      <c r="AF24">
        <f>ABS(AD24-AE24)</f>
        <v/>
      </c>
      <c r="AG24" s="8">
        <f>IF(AD24=0,"-",1-ABS(AD24-AE24)/AD24)</f>
        <v/>
      </c>
      <c r="AH24">
        <f>IF((AE24-AD23)&gt;=500,IF(ABS((AD24-AD23))&lt;500,"",IF((AD24-AD23)&lt;0,-ABS((AD24-AD23)/(AE24-AD23)),MIN(1,ABS((AD24-AD23)/(AE24-AD23))))),IF((AE24-AD23)&lt;=-500,IF(ABS((AD24-AD23))&lt;500,"",IF((AD24-AD23)&gt;0,-ABS((AD24-AD23)/(AE24-AD23)),MIN(1,ABS((AD24-AD23)/(AE24-AD23))))),IF(ABS((AD24-AD23))&lt;500,1,MIN(1,500/ABS((AD24-AD23))))))</f>
        <v/>
      </c>
      <c r="AI24">
        <f>IF(AND(ABS((AD24-AD23))&lt;500,ABS((AE24-AD23))&lt;500),1,IF(AND(ABS((AD24-AD23))&lt;500,ABS((AE24-AD23))&gt;=500),0,IF((AD24-AD23)*(AE24-AD23)&gt;0,1,0)))</f>
        <v/>
      </c>
      <c r="AK24" s="6" t="n">
        <v>47433.33</v>
      </c>
      <c r="AL24" s="7" t="n">
        <v>47841.562</v>
      </c>
      <c r="AM24">
        <f>ABS(AK24-AL24)</f>
        <v/>
      </c>
      <c r="AN24" s="8">
        <f>IF(AK24=0,"-",1-ABS(AK24-AL24)/AK24)</f>
        <v/>
      </c>
      <c r="AO24">
        <f>IF((AL24-AK23)&gt;=500,IF(ABS((AK24-AK23))&lt;500,"",IF((AK24-AK23)&lt;0,-ABS((AK24-AK23)/(AL24-AK23)),MIN(1,ABS((AK24-AK23)/(AL24-AK23))))),IF((AL24-AK23)&lt;=-500,IF(ABS((AK24-AK23))&lt;500,"",IF((AK24-AK23)&gt;0,-ABS((AK24-AK23)/(AL24-AK23)),MIN(1,ABS((AK24-AK23)/(AL24-AK23))))),IF(ABS((AK24-AK23))&lt;500,1,MIN(1,500/ABS((AK24-AK23))))))</f>
        <v/>
      </c>
      <c r="AP24">
        <f>IF(AND(ABS((AK24-AK23))&lt;500,ABS((AL24-AK23))&lt;500),1,IF(AND(ABS((AK24-AK23))&lt;500,ABS((AL24-AK23))&gt;=500),0,IF((AK24-AK23)*(AL24-AK23)&gt;0,1,0)))</f>
        <v/>
      </c>
    </row>
    <row r="25">
      <c r="A25" s="5" t="n">
        <v>45711</v>
      </c>
      <c r="B25" s="6" t="n">
        <v>49000</v>
      </c>
      <c r="C25" s="7" t="n">
        <v>49141.004</v>
      </c>
      <c r="D25">
        <f>ABS(B25-C25)</f>
        <v/>
      </c>
      <c r="E25" s="8">
        <f>IF(B25=0,"-",1-ABS(B25-C25)/B25)</f>
        <v/>
      </c>
      <c r="F25">
        <f>IF((C25-B24)&gt;=500,IF(ABS((B25-B24))&lt;500,"",IF((B25-B24)&lt;0,-ABS((B25-B24)/(C25-B24)),MIN(1,ABS((B25-B24)/(C25-B24))))),IF((C25-B24)&lt;=-500,IF(ABS((B25-B24))&lt;500,"",IF((B25-B24)&gt;0,-ABS((B25-B24)/(C25-B24)),MIN(1,ABS((B25-B24)/(C25-B24))))),IF(ABS((B25-B24))&lt;500,1,MIN(1,500/ABS((B25-B24))))))</f>
        <v/>
      </c>
      <c r="G25">
        <f>IF(AND(ABS((B25-B24))&lt;500,ABS((C25-B24))&lt;500),1,IF(AND(ABS((B25-B24))&lt;500,ABS((C25-B24))&gt;=500),0,IF((B25-B24)*(C25-B24)&gt;0,1,0)))</f>
        <v/>
      </c>
      <c r="I25" s="6" t="n">
        <v>48350</v>
      </c>
      <c r="J25" s="7" t="n">
        <v>48366.477</v>
      </c>
      <c r="K25">
        <f>ABS(I25-J25)</f>
        <v/>
      </c>
      <c r="L25" s="8">
        <f>IF(I25=0,"-",1-ABS(I25-J25)/I25)</f>
        <v/>
      </c>
      <c r="M25">
        <f>IF((J25-I24)&gt;=500,IF(ABS((I25-I24))&lt;500,"",IF((I25-I24)&lt;0,-ABS((I25-I24)/(J25-I24)),MIN(1,ABS((I25-I24)/(J25-I24))))),IF((J25-I24)&lt;=-500,IF(ABS((I25-I24))&lt;500,"",IF((I25-I24)&gt;0,-ABS((I25-I24)/(J25-I24)),MIN(1,ABS((I25-I24)/(J25-I24))))),IF(ABS((I25-I24))&lt;500,1,MIN(1,500/ABS((I25-I24))))))</f>
        <v/>
      </c>
      <c r="N25">
        <f>IF(AND(ABS((I25-I24))&lt;500,ABS((J25-I24))&lt;500),1,IF(AND(ABS((I25-I24))&lt;500,ABS((J25-I24))&gt;=500),0,IF((I25-I24)*(J25-I24)&gt;0,1,0)))</f>
        <v/>
      </c>
      <c r="P25" s="6" t="n">
        <v>53200</v>
      </c>
      <c r="Q25" s="7" t="n">
        <v>52760.78</v>
      </c>
      <c r="R25">
        <f>ABS(P25-Q25)</f>
        <v/>
      </c>
      <c r="S25" s="8">
        <f>IF(P25=0,"-",1-ABS(P25-Q25)/P25)</f>
        <v/>
      </c>
      <c r="T25">
        <f>IF((Q25-P24)&gt;=500,IF(ABS((P25-P24))&lt;500,"",IF((P25-P24)&lt;0,-ABS((P25-P24)/(Q25-P24)),MIN(1,ABS((P25-P24)/(Q25-P24))))),IF((Q25-P24)&lt;=-500,IF(ABS((P25-P24))&lt;500,"",IF((P25-P24)&gt;0,-ABS((P25-P24)/(Q25-P24)),MIN(1,ABS((P25-P24)/(Q25-P24))))),IF(ABS((P25-P24))&lt;500,1,MIN(1,500/ABS((P25-P24))))))</f>
        <v/>
      </c>
      <c r="U25">
        <f>IF(AND(ABS((P25-P24))&lt;500,ABS((Q25-P24))&lt;500),1,IF(AND(ABS((P25-P24))&lt;500,ABS((Q25-P24))&gt;=500),0,IF((P25-P24)*(Q25-P24)&gt;0,1,0)))</f>
        <v/>
      </c>
      <c r="W25" s="6" t="n">
        <v>47750</v>
      </c>
      <c r="X25" s="7" t="n">
        <v>47172.863</v>
      </c>
      <c r="Y25">
        <f>ABS(W25-X25)</f>
        <v/>
      </c>
      <c r="Z25" s="8">
        <f>IF(W25=0,"-",1-ABS(W25-X25)/W25)</f>
        <v/>
      </c>
      <c r="AA25">
        <f>IF((X25-W24)&gt;=500,IF(ABS((W25-W24))&lt;500,"",IF((W25-W24)&lt;0,-ABS((W25-W24)/(X25-W24)),MIN(1,ABS((W25-W24)/(X25-W24))))),IF((X25-W24)&lt;=-500,IF(ABS((W25-W24))&lt;500,"",IF((W25-W24)&gt;0,-ABS((W25-W24)/(X25-W24)),MIN(1,ABS((W25-W24)/(X25-W24))))),IF(ABS((W25-W24))&lt;500,1,MIN(1,500/ABS((W25-W24))))))</f>
        <v/>
      </c>
      <c r="AB25">
        <f>IF(AND(ABS((W25-W24))&lt;500,ABS((X25-W24))&lt;500),1,IF(AND(ABS((W25-W24))&lt;500,ABS((X25-W24))&gt;=500),0,IF((W25-W24)*(X25-W24)&gt;0,1,0)))</f>
        <v/>
      </c>
      <c r="AD25" s="6" t="n">
        <v>42650</v>
      </c>
      <c r="AE25" s="7" t="n">
        <v>41924.945</v>
      </c>
      <c r="AF25">
        <f>ABS(AD25-AE25)</f>
        <v/>
      </c>
      <c r="AG25" s="8">
        <f>IF(AD25=0,"-",1-ABS(AD25-AE25)/AD25)</f>
        <v/>
      </c>
      <c r="AH25">
        <f>IF((AE25-AD24)&gt;=500,IF(ABS((AD25-AD24))&lt;500,"",IF((AD25-AD24)&lt;0,-ABS((AD25-AD24)/(AE25-AD24)),MIN(1,ABS((AD25-AD24)/(AE25-AD24))))),IF((AE25-AD24)&lt;=-500,IF(ABS((AD25-AD24))&lt;500,"",IF((AD25-AD24)&gt;0,-ABS((AD25-AD24)/(AE25-AD24)),MIN(1,ABS((AD25-AD24)/(AE25-AD24))))),IF(ABS((AD25-AD24))&lt;500,1,MIN(1,500/ABS((AD25-AD24))))))</f>
        <v/>
      </c>
      <c r="AI25">
        <f>IF(AND(ABS((AD25-AD24))&lt;500,ABS((AE25-AD24))&lt;500),1,IF(AND(ABS((AD25-AD24))&lt;500,ABS((AE25-AD24))&gt;=500),0,IF((AD25-AD24)*(AE25-AD24)&gt;0,1,0)))</f>
        <v/>
      </c>
      <c r="AK25" s="6" t="n">
        <v>47166.67</v>
      </c>
      <c r="AL25" s="7" t="n">
        <v>48226.266</v>
      </c>
      <c r="AM25">
        <f>ABS(AK25-AL25)</f>
        <v/>
      </c>
      <c r="AN25" s="8">
        <f>IF(AK25=0,"-",1-ABS(AK25-AL25)/AK25)</f>
        <v/>
      </c>
      <c r="AO25">
        <f>IF((AL25-AK24)&gt;=500,IF(ABS((AK25-AK24))&lt;500,"",IF((AK25-AK24)&lt;0,-ABS((AK25-AK24)/(AL25-AK24)),MIN(1,ABS((AK25-AK24)/(AL25-AK24))))),IF((AL25-AK24)&lt;=-500,IF(ABS((AK25-AK24))&lt;500,"",IF((AK25-AK24)&gt;0,-ABS((AK25-AK24)/(AL25-AK24)),MIN(1,ABS((AK25-AK24)/(AL25-AK24))))),IF(ABS((AK25-AK24))&lt;500,1,MIN(1,500/ABS((AK25-AK24))))))</f>
        <v/>
      </c>
      <c r="AP25">
        <f>IF(AND(ABS((AK25-AK24))&lt;500,ABS((AL25-AK24))&lt;500),1,IF(AND(ABS((AK25-AK24))&lt;500,ABS((AL25-AK24))&gt;=500),0,IF((AK25-AK24)*(AL25-AK24)&gt;0,1,0)))</f>
        <v/>
      </c>
    </row>
    <row r="26">
      <c r="A26" s="5" t="n">
        <v>45718</v>
      </c>
      <c r="B26" s="6" t="n">
        <v>49000</v>
      </c>
      <c r="C26" s="7" t="n">
        <v>49055.37</v>
      </c>
      <c r="D26">
        <f>ABS(B26-C26)</f>
        <v/>
      </c>
      <c r="E26" s="8">
        <f>IF(B26=0,"-",1-ABS(B26-C26)/B26)</f>
        <v/>
      </c>
      <c r="F26">
        <f>IF((C26-B25)&gt;=500,IF(ABS((B26-B25))&lt;500,"",IF((B26-B25)&lt;0,-ABS((B26-B25)/(C26-B25)),MIN(1,ABS((B26-B25)/(C26-B25))))),IF((C26-B25)&lt;=-500,IF(ABS((B26-B25))&lt;500,"",IF((B26-B25)&gt;0,-ABS((B26-B25)/(C26-B25)),MIN(1,ABS((B26-B25)/(C26-B25))))),IF(ABS((B26-B25))&lt;500,1,MIN(1,500/ABS((B26-B25))))))</f>
        <v/>
      </c>
      <c r="G26">
        <f>IF(AND(ABS((B26-B25))&lt;500,ABS((C26-B25))&lt;500),1,IF(AND(ABS((B26-B25))&lt;500,ABS((C26-B25))&gt;=500),0,IF((B26-B25)*(C26-B25)&gt;0,1,0)))</f>
        <v/>
      </c>
      <c r="I26" s="6" t="n">
        <v>48200</v>
      </c>
      <c r="J26" s="7" t="n">
        <v>48323.06</v>
      </c>
      <c r="K26">
        <f>ABS(I26-J26)</f>
        <v/>
      </c>
      <c r="L26" s="8">
        <f>IF(I26=0,"-",1-ABS(I26-J26)/I26)</f>
        <v/>
      </c>
      <c r="M26">
        <f>IF((J26-I25)&gt;=500,IF(ABS((I26-I25))&lt;500,"",IF((I26-I25)&lt;0,-ABS((I26-I25)/(J26-I25)),MIN(1,ABS((I26-I25)/(J26-I25))))),IF((J26-I25)&lt;=-500,IF(ABS((I26-I25))&lt;500,"",IF((I26-I25)&gt;0,-ABS((I26-I25)/(J26-I25)),MIN(1,ABS((I26-I25)/(J26-I25))))),IF(ABS((I26-I25))&lt;500,1,MIN(1,500/ABS((I26-I25))))))</f>
        <v/>
      </c>
      <c r="N26">
        <f>IF(AND(ABS((I26-I25))&lt;500,ABS((J26-I25))&lt;500),1,IF(AND(ABS((I26-I25))&lt;500,ABS((J26-I25))&gt;=500),0,IF((I26-I25)*(J26-I25)&gt;0,1,0)))</f>
        <v/>
      </c>
      <c r="P26" s="6" t="n">
        <v>54300</v>
      </c>
      <c r="Q26" s="7" t="n">
        <v>53494.93</v>
      </c>
      <c r="R26">
        <f>ABS(P26-Q26)</f>
        <v/>
      </c>
      <c r="S26" s="8">
        <f>IF(P26=0,"-",1-ABS(P26-Q26)/P26)</f>
        <v/>
      </c>
      <c r="T26">
        <f>IF((Q26-P25)&gt;=500,IF(ABS((P26-P25))&lt;500,"",IF((P26-P25)&lt;0,-ABS((P26-P25)/(Q26-P25)),MIN(1,ABS((P26-P25)/(Q26-P25))))),IF((Q26-P25)&lt;=-500,IF(ABS((P26-P25))&lt;500,"",IF((P26-P25)&gt;0,-ABS((P26-P25)/(Q26-P25)),MIN(1,ABS((P26-P25)/(Q26-P25))))),IF(ABS((P26-P25))&lt;500,1,MIN(1,500/ABS((P26-P25))))))</f>
        <v/>
      </c>
      <c r="U26">
        <f>IF(AND(ABS((P26-P25))&lt;500,ABS((Q26-P25))&lt;500),1,IF(AND(ABS((P26-P25))&lt;500,ABS((Q26-P25))&gt;=500),0,IF((P26-P25)*(Q26-P25)&gt;0,1,0)))</f>
        <v/>
      </c>
      <c r="W26" s="6" t="n">
        <v>48366.67</v>
      </c>
      <c r="X26" s="7" t="n">
        <v>47903.65</v>
      </c>
      <c r="Y26">
        <f>ABS(W26-X26)</f>
        <v/>
      </c>
      <c r="Z26" s="8">
        <f>IF(W26=0,"-",1-ABS(W26-X26)/W26)</f>
        <v/>
      </c>
      <c r="AA26">
        <f>IF((X26-W25)&gt;=500,IF(ABS((W26-W25))&lt;500,"",IF((W26-W25)&lt;0,-ABS((W26-W25)/(X26-W25)),MIN(1,ABS((W26-W25)/(X26-W25))))),IF((X26-W25)&lt;=-500,IF(ABS((W26-W25))&lt;500,"",IF((W26-W25)&gt;0,-ABS((W26-W25)/(X26-W25)),MIN(1,ABS((W26-W25)/(X26-W25))))),IF(ABS((W26-W25))&lt;500,1,MIN(1,500/ABS((W26-W25))))))</f>
        <v/>
      </c>
      <c r="AB26">
        <f>IF(AND(ABS((W26-W25))&lt;500,ABS((X26-W25))&lt;500),1,IF(AND(ABS((W26-W25))&lt;500,ABS((X26-W25))&gt;=500),0,IF((W26-W25)*(X26-W25)&gt;0,1,0)))</f>
        <v/>
      </c>
      <c r="AD26" s="6" t="n">
        <v>42583.33</v>
      </c>
      <c r="AE26" s="7" t="n">
        <v>42708.7</v>
      </c>
      <c r="AF26">
        <f>ABS(AD26-AE26)</f>
        <v/>
      </c>
      <c r="AG26" s="8">
        <f>IF(AD26=0,"-",1-ABS(AD26-AE26)/AD26)</f>
        <v/>
      </c>
      <c r="AH26">
        <f>IF((AE26-AD25)&gt;=500,IF(ABS((AD26-AD25))&lt;500,"",IF((AD26-AD25)&lt;0,-ABS((AD26-AD25)/(AE26-AD25)),MIN(1,ABS((AD26-AD25)/(AE26-AD25))))),IF((AE26-AD25)&lt;=-500,IF(ABS((AD26-AD25))&lt;500,"",IF((AD26-AD25)&gt;0,-ABS((AD26-AD25)/(AE26-AD25)),MIN(1,ABS((AD26-AD25)/(AE26-AD25))))),IF(ABS((AD26-AD25))&lt;500,1,MIN(1,500/ABS((AD26-AD25))))))</f>
        <v/>
      </c>
      <c r="AI26">
        <f>IF(AND(ABS((AD26-AD25))&lt;500,ABS((AE26-AD25))&lt;500),1,IF(AND(ABS((AD26-AD25))&lt;500,ABS((AE26-AD25))&gt;=500),0,IF((AD26-AD25)*(AE26-AD25)&gt;0,1,0)))</f>
        <v/>
      </c>
      <c r="AK26" s="6" t="n">
        <v>47700</v>
      </c>
      <c r="AL26" s="7" t="n">
        <v>47991.055</v>
      </c>
      <c r="AM26">
        <f>ABS(AK26-AL26)</f>
        <v/>
      </c>
      <c r="AN26" s="8">
        <f>IF(AK26=0,"-",1-ABS(AK26-AL26)/AK26)</f>
        <v/>
      </c>
      <c r="AO26">
        <f>IF((AL26-AK25)&gt;=500,IF(ABS((AK26-AK25))&lt;500,"",IF((AK26-AK25)&lt;0,-ABS((AK26-AK25)/(AL26-AK25)),MIN(1,ABS((AK26-AK25)/(AL26-AK25))))),IF((AL26-AK25)&lt;=-500,IF(ABS((AK26-AK25))&lt;500,"",IF((AK26-AK25)&gt;0,-ABS((AK26-AK25)/(AL26-AK25)),MIN(1,ABS((AK26-AK25)/(AL26-AK25))))),IF(ABS((AK26-AK25))&lt;500,1,MIN(1,500/ABS((AK26-AK25))))))</f>
        <v/>
      </c>
      <c r="AP26">
        <f>IF(AND(ABS((AK26-AK25))&lt;500,ABS((AL26-AK25))&lt;500),1,IF(AND(ABS((AK26-AK25))&lt;500,ABS((AL26-AK25))&gt;=500),0,IF((AK26-AK25)*(AL26-AK25)&gt;0,1,0)))</f>
        <v/>
      </c>
    </row>
    <row r="27">
      <c r="A27" s="5" t="n">
        <v>45725</v>
      </c>
      <c r="B27" s="6" t="n">
        <v>49000</v>
      </c>
      <c r="C27" s="7" t="n">
        <v>49155.26</v>
      </c>
      <c r="D27">
        <f>ABS(B27-C27)</f>
        <v/>
      </c>
      <c r="E27" s="8">
        <f>IF(B27=0,"-",1-ABS(B27-C27)/B27)</f>
        <v/>
      </c>
      <c r="F27">
        <f>IF((C27-B26)&gt;=500,IF(ABS((B27-B26))&lt;500,"",IF((B27-B26)&lt;0,-ABS((B27-B26)/(C27-B26)),MIN(1,ABS((B27-B26)/(C27-B26))))),IF((C27-B26)&lt;=-500,IF(ABS((B27-B26))&lt;500,"",IF((B27-B26)&gt;0,-ABS((B27-B26)/(C27-B26)),MIN(1,ABS((B27-B26)/(C27-B26))))),IF(ABS((B27-B26))&lt;500,1,MIN(1,500/ABS((B27-B26))))))</f>
        <v/>
      </c>
      <c r="G27">
        <f>IF(AND(ABS((B27-B26))&lt;500,ABS((C27-B26))&lt;500),1,IF(AND(ABS((B27-B26))&lt;500,ABS((C27-B26))&gt;=500),0,IF((B27-B26)*(C27-B26)&gt;0,1,0)))</f>
        <v/>
      </c>
      <c r="I27" s="6" t="n">
        <v>48750</v>
      </c>
      <c r="J27" s="7" t="n">
        <v>48120.555</v>
      </c>
      <c r="K27">
        <f>ABS(I27-J27)</f>
        <v/>
      </c>
      <c r="L27" s="8">
        <f>IF(I27=0,"-",1-ABS(I27-J27)/I27)</f>
        <v/>
      </c>
      <c r="M27">
        <f>IF((J27-I26)&gt;=500,IF(ABS((I27-I26))&lt;500,"",IF((I27-I26)&lt;0,-ABS((I27-I26)/(J27-I26)),MIN(1,ABS((I27-I26)/(J27-I26))))),IF((J27-I26)&lt;=-500,IF(ABS((I27-I26))&lt;500,"",IF((I27-I26)&gt;0,-ABS((I27-I26)/(J27-I26)),MIN(1,ABS((I27-I26)/(J27-I26))))),IF(ABS((I27-I26))&lt;500,1,MIN(1,500/ABS((I27-I26))))))</f>
        <v/>
      </c>
      <c r="N27">
        <f>IF(AND(ABS((I27-I26))&lt;500,ABS((J27-I26))&lt;500),1,IF(AND(ABS((I27-I26))&lt;500,ABS((J27-I26))&gt;=500),0,IF((I27-I26)*(J27-I26)&gt;0,1,0)))</f>
        <v/>
      </c>
      <c r="P27" s="6" t="n">
        <v>54400</v>
      </c>
      <c r="Q27" s="7" t="n">
        <v>54828.54</v>
      </c>
      <c r="R27">
        <f>ABS(P27-Q27)</f>
        <v/>
      </c>
      <c r="S27" s="8">
        <f>IF(P27=0,"-",1-ABS(P27-Q27)/P27)</f>
        <v/>
      </c>
      <c r="T27">
        <f>IF((Q27-P26)&gt;=500,IF(ABS((P27-P26))&lt;500,"",IF((P27-P26)&lt;0,-ABS((P27-P26)/(Q27-P26)),MIN(1,ABS((P27-P26)/(Q27-P26))))),IF((Q27-P26)&lt;=-500,IF(ABS((P27-P26))&lt;500,"",IF((P27-P26)&gt;0,-ABS((P27-P26)/(Q27-P26)),MIN(1,ABS((P27-P26)/(Q27-P26))))),IF(ABS((P27-P26))&lt;500,1,MIN(1,500/ABS((P27-P26))))))</f>
        <v/>
      </c>
      <c r="U27">
        <f>IF(AND(ABS((P27-P26))&lt;500,ABS((Q27-P26))&lt;500),1,IF(AND(ABS((P27-P26))&lt;500,ABS((Q27-P26))&gt;=500),0,IF((P27-P26)*(Q27-P26)&gt;0,1,0)))</f>
        <v/>
      </c>
      <c r="W27" s="6" t="n">
        <v>48950</v>
      </c>
      <c r="X27" s="7" t="n">
        <v>48534.11</v>
      </c>
      <c r="Y27">
        <f>ABS(W27-X27)</f>
        <v/>
      </c>
      <c r="Z27" s="8">
        <f>IF(W27=0,"-",1-ABS(W27-X27)/W27)</f>
        <v/>
      </c>
      <c r="AA27">
        <f>IF((X27-W26)&gt;=500,IF(ABS((W27-W26))&lt;500,"",IF((W27-W26)&lt;0,-ABS((W27-W26)/(X27-W26)),MIN(1,ABS((W27-W26)/(X27-W26))))),IF((X27-W26)&lt;=-500,IF(ABS((W27-W26))&lt;500,"",IF((W27-W26)&gt;0,-ABS((W27-W26)/(X27-W26)),MIN(1,ABS((W27-W26)/(X27-W26))))),IF(ABS((W27-W26))&lt;500,1,MIN(1,500/ABS((W27-W26))))))</f>
        <v/>
      </c>
      <c r="AB27">
        <f>IF(AND(ABS((W27-W26))&lt;500,ABS((X27-W26))&lt;500),1,IF(AND(ABS((W27-W26))&lt;500,ABS((X27-W26))&gt;=500),0,IF((W27-W26)*(X27-W26)&gt;0,1,0)))</f>
        <v/>
      </c>
      <c r="AD27" s="6" t="n">
        <v>43416.67</v>
      </c>
      <c r="AE27" s="7" t="n">
        <v>42575.293</v>
      </c>
      <c r="AF27">
        <f>ABS(AD27-AE27)</f>
        <v/>
      </c>
      <c r="AG27" s="8">
        <f>IF(AD27=0,"-",1-ABS(AD27-AE27)/AD27)</f>
        <v/>
      </c>
      <c r="AH27">
        <f>IF((AE27-AD26)&gt;=500,IF(ABS((AD27-AD26))&lt;500,"",IF((AD27-AD26)&lt;0,-ABS((AD27-AD26)/(AE27-AD26)),MIN(1,ABS((AD27-AD26)/(AE27-AD26))))),IF((AE27-AD26)&lt;=-500,IF(ABS((AD27-AD26))&lt;500,"",IF((AD27-AD26)&gt;0,-ABS((AD27-AD26)/(AE27-AD26)),MIN(1,ABS((AD27-AD26)/(AE27-AD26))))),IF(ABS((AD27-AD26))&lt;500,1,MIN(1,500/ABS((AD27-AD26))))))</f>
        <v/>
      </c>
      <c r="AI27">
        <f>IF(AND(ABS((AD27-AD26))&lt;500,ABS((AE27-AD26))&lt;500),1,IF(AND(ABS((AD27-AD26))&lt;500,ABS((AE27-AD26))&gt;=500),0,IF((AD27-AD26)*(AE27-AD26)&gt;0,1,0)))</f>
        <v/>
      </c>
      <c r="AK27" s="6" t="n">
        <v>48033.33</v>
      </c>
      <c r="AL27" s="7" t="n">
        <v>48316.83</v>
      </c>
      <c r="AM27">
        <f>ABS(AK27-AL27)</f>
        <v/>
      </c>
      <c r="AN27" s="8">
        <f>IF(AK27=0,"-",1-ABS(AK27-AL27)/AK27)</f>
        <v/>
      </c>
      <c r="AO27">
        <f>IF((AL27-AK26)&gt;=500,IF(ABS((AK27-AK26))&lt;500,"",IF((AK27-AK26)&lt;0,-ABS((AK27-AK26)/(AL27-AK26)),MIN(1,ABS((AK27-AK26)/(AL27-AK26))))),IF((AL27-AK26)&lt;=-500,IF(ABS((AK27-AK26))&lt;500,"",IF((AK27-AK26)&gt;0,-ABS((AK27-AK26)/(AL27-AK26)),MIN(1,ABS((AK27-AK26)/(AL27-AK26))))),IF(ABS((AK27-AK26))&lt;500,1,MIN(1,500/ABS((AK27-AK26))))))</f>
        <v/>
      </c>
      <c r="AP27">
        <f>IF(AND(ABS((AK27-AK26))&lt;500,ABS((AL27-AK26))&lt;500),1,IF(AND(ABS((AK27-AK26))&lt;500,ABS((AL27-AK26))&gt;=500),0,IF((AK27-AK26)*(AL27-AK26)&gt;0,1,0)))</f>
        <v/>
      </c>
    </row>
    <row r="28">
      <c r="A28" s="5" t="n">
        <v>45732</v>
      </c>
      <c r="B28" s="6" t="n">
        <v>49500</v>
      </c>
      <c r="C28" s="7" t="n">
        <v>49333.445</v>
      </c>
      <c r="D28">
        <f>ABS(B28-C28)</f>
        <v/>
      </c>
      <c r="E28" s="8">
        <f>IF(B28=0,"-",1-ABS(B28-C28)/B28)</f>
        <v/>
      </c>
      <c r="F28">
        <f>IF((C28-B27)&gt;=500,IF(ABS((B28-B27))&lt;500,"",IF((B28-B27)&lt;0,-ABS((B28-B27)/(C28-B27)),MIN(1,ABS((B28-B27)/(C28-B27))))),IF((C28-B27)&lt;=-500,IF(ABS((B28-B27))&lt;500,"",IF((B28-B27)&gt;0,-ABS((B28-B27)/(C28-B27)),MIN(1,ABS((B28-B27)/(C28-B27))))),IF(ABS((B28-B27))&lt;500,1,MIN(1,500/ABS((B28-B27))))))</f>
        <v/>
      </c>
      <c r="G28">
        <f>IF(AND(ABS((B28-B27))&lt;500,ABS((C28-B27))&lt;500),1,IF(AND(ABS((B28-B27))&lt;500,ABS((C28-B27))&gt;=500),0,IF((B28-B27)*(C28-B27)&gt;0,1,0)))</f>
        <v/>
      </c>
      <c r="H28" s="9">
        <f>COUNTIF(G28:G39,1)&amp;"/"&amp;COUNT(G28:G39)</f>
        <v/>
      </c>
      <c r="I28" s="6" t="n">
        <v>49600</v>
      </c>
      <c r="J28" s="7" t="n">
        <v>48748.508</v>
      </c>
      <c r="K28">
        <f>ABS(I28-J28)</f>
        <v/>
      </c>
      <c r="L28" s="8">
        <f>IF(I28=0,"-",1-ABS(I28-J28)/I28)</f>
        <v/>
      </c>
      <c r="M28">
        <f>IF((J28-I27)&gt;=500,IF(ABS((I28-I27))&lt;500,"",IF((I28-I27)&lt;0,-ABS((I28-I27)/(J28-I27)),MIN(1,ABS((I28-I27)/(J28-I27))))),IF((J28-I27)&lt;=-500,IF(ABS((I28-I27))&lt;500,"",IF((I28-I27)&gt;0,-ABS((I28-I27)/(J28-I27)),MIN(1,ABS((I28-I27)/(J28-I27))))),IF(ABS((I28-I27))&lt;500,1,MIN(1,500/ABS((I28-I27))))))</f>
        <v/>
      </c>
      <c r="N28">
        <f>IF(AND(ABS((I28-I27))&lt;500,ABS((J28-I27))&lt;500),1,IF(AND(ABS((I28-I27))&lt;500,ABS((J28-I27))&gt;=500),0,IF((I28-I27)*(J28-I27)&gt;0,1,0)))</f>
        <v/>
      </c>
      <c r="O28" s="9">
        <f>COUNTIF(N28:N39,1)&amp;"/"&amp;COUNT(N28:N39)</f>
        <v/>
      </c>
      <c r="P28" s="6" t="n">
        <v>55000</v>
      </c>
      <c r="Q28" s="7" t="n">
        <v>54601.117</v>
      </c>
      <c r="R28">
        <f>ABS(P28-Q28)</f>
        <v/>
      </c>
      <c r="S28" s="8">
        <f>IF(P28=0,"-",1-ABS(P28-Q28)/P28)</f>
        <v/>
      </c>
      <c r="T28">
        <f>IF((Q28-P27)&gt;=500,IF(ABS((P28-P27))&lt;500,"",IF((P28-P27)&lt;0,-ABS((P28-P27)/(Q28-P27)),MIN(1,ABS((P28-P27)/(Q28-P27))))),IF((Q28-P27)&lt;=-500,IF(ABS((P28-P27))&lt;500,"",IF((P28-P27)&gt;0,-ABS((P28-P27)/(Q28-P27)),MIN(1,ABS((P28-P27)/(Q28-P27))))),IF(ABS((P28-P27))&lt;500,1,MIN(1,500/ABS((P28-P27))))))</f>
        <v/>
      </c>
      <c r="U28">
        <f>IF(AND(ABS((P28-P27))&lt;500,ABS((Q28-P27))&lt;500),1,IF(AND(ABS((P28-P27))&lt;500,ABS((Q28-P27))&gt;=500),0,IF((P28-P27)*(Q28-P27)&gt;0,1,0)))</f>
        <v/>
      </c>
      <c r="V28" s="9">
        <f>COUNTIF(U28:U39,1)&amp;"/"&amp;COUNT(U28:U39)</f>
        <v/>
      </c>
      <c r="W28" s="6" t="n">
        <v>49300</v>
      </c>
      <c r="X28" s="7" t="n">
        <v>48672.71</v>
      </c>
      <c r="Y28">
        <f>ABS(W28-X28)</f>
        <v/>
      </c>
      <c r="Z28" s="8">
        <f>IF(W28=0,"-",1-ABS(W28-X28)/W28)</f>
        <v/>
      </c>
      <c r="AA28">
        <f>IF((X28-W27)&gt;=500,IF(ABS((W28-W27))&lt;500,"",IF((W28-W27)&lt;0,-ABS((W28-W27)/(X28-W27)),MIN(1,ABS((W28-W27)/(X28-W27))))),IF((X28-W27)&lt;=-500,IF(ABS((W28-W27))&lt;500,"",IF((W28-W27)&gt;0,-ABS((W28-W27)/(X28-W27)),MIN(1,ABS((W28-W27)/(X28-W27))))),IF(ABS((W28-W27))&lt;500,1,MIN(1,500/ABS((W28-W27))))))</f>
        <v/>
      </c>
      <c r="AB28">
        <f>IF(AND(ABS((W28-W27))&lt;500,ABS((X28-W27))&lt;500),1,IF(AND(ABS((W28-W27))&lt;500,ABS((X28-W27))&gt;=500),0,IF((W28-W27)*(X28-W27)&gt;0,1,0)))</f>
        <v/>
      </c>
      <c r="AC28" s="9">
        <f>COUNTIF(AB28:AB39,1)&amp;"/"&amp;COUNT(AB28:AB39)</f>
        <v/>
      </c>
      <c r="AD28" s="6" t="n">
        <v>43683.33</v>
      </c>
      <c r="AE28" s="7" t="n">
        <v>43018.09</v>
      </c>
      <c r="AF28">
        <f>ABS(AD28-AE28)</f>
        <v/>
      </c>
      <c r="AG28" s="8">
        <f>IF(AD28=0,"-",1-ABS(AD28-AE28)/AD28)</f>
        <v/>
      </c>
      <c r="AH28">
        <f>IF((AE28-AD27)&gt;=500,IF(ABS((AD28-AD27))&lt;500,"",IF((AD28-AD27)&lt;0,-ABS((AD28-AD27)/(AE28-AD27)),MIN(1,ABS((AD28-AD27)/(AE28-AD27))))),IF((AE28-AD27)&lt;=-500,IF(ABS((AD28-AD27))&lt;500,"",IF((AD28-AD27)&gt;0,-ABS((AD28-AD27)/(AE28-AD27)),MIN(1,ABS((AD28-AD27)/(AE28-AD27))))),IF(ABS((AD28-AD27))&lt;500,1,MIN(1,500/ABS((AD28-AD27))))))</f>
        <v/>
      </c>
      <c r="AI28">
        <f>IF(AND(ABS((AD28-AD27))&lt;500,ABS((AE28-AD27))&lt;500),1,IF(AND(ABS((AD28-AD27))&lt;500,ABS((AE28-AD27))&gt;=500),0,IF((AD28-AD27)*(AE28-AD27)&gt;0,1,0)))</f>
        <v/>
      </c>
      <c r="AJ28" s="9">
        <f>COUNTIF(AI28:AI39,1)&amp;"/"&amp;COUNT(AI28:AI39)</f>
        <v/>
      </c>
      <c r="AK28" s="6" t="n">
        <v>48050</v>
      </c>
      <c r="AL28" s="7" t="n">
        <v>47974.98</v>
      </c>
      <c r="AM28">
        <f>ABS(AK28-AL28)</f>
        <v/>
      </c>
      <c r="AN28" s="8">
        <f>IF(AK28=0,"-",1-ABS(AK28-AL28)/AK28)</f>
        <v/>
      </c>
      <c r="AO28">
        <f>IF((AL28-AK27)&gt;=500,IF(ABS((AK28-AK27))&lt;500,"",IF((AK28-AK27)&lt;0,-ABS((AK28-AK27)/(AL28-AK27)),MIN(1,ABS((AK28-AK27)/(AL28-AK27))))),IF((AL28-AK27)&lt;=-500,IF(ABS((AK28-AK27))&lt;500,"",IF((AK28-AK27)&gt;0,-ABS((AK28-AK27)/(AL28-AK27)),MIN(1,ABS((AK28-AK27)/(AL28-AK27))))),IF(ABS((AK28-AK27))&lt;500,1,MIN(1,500/ABS((AK28-AK27))))))</f>
        <v/>
      </c>
      <c r="AP28">
        <f>IF(AND(ABS((AK28-AK27))&lt;500,ABS((AL28-AK27))&lt;500),1,IF(AND(ABS((AK28-AK27))&lt;500,ABS((AL28-AK27))&gt;=500),0,IF((AK28-AK27)*(AL28-AK27)&gt;0,1,0)))</f>
        <v/>
      </c>
      <c r="AQ28" s="9">
        <f>COUNTIF(AP28:AP39,1)&amp;"/"&amp;COUNT(AP28:AP39)</f>
        <v/>
      </c>
    </row>
    <row r="29">
      <c r="A29" s="5" t="n">
        <v>45739</v>
      </c>
      <c r="B29" s="6" t="n">
        <v>49600</v>
      </c>
      <c r="C29" s="7" t="n">
        <v>49695.68</v>
      </c>
      <c r="D29">
        <f>ABS(B29-C29)</f>
        <v/>
      </c>
      <c r="E29" s="8">
        <f>IF(B29=0,"-",1-ABS(B29-C29)/B29)</f>
        <v/>
      </c>
      <c r="F29">
        <f>IF((C29-B28)&gt;=500,IF(ABS((B29-B28))&lt;500,"",IF((B29-B28)&lt;0,-ABS((B29-B28)/(C29-B28)),MIN(1,ABS((B29-B28)/(C29-B28))))),IF((C29-B28)&lt;=-500,IF(ABS((B29-B28))&lt;500,"",IF((B29-B28)&gt;0,-ABS((B29-B28)/(C29-B28)),MIN(1,ABS((B29-B28)/(C29-B28))))),IF(ABS((B29-B28))&lt;500,1,MIN(1,500/ABS((B29-B28))))))</f>
        <v/>
      </c>
      <c r="G29">
        <f>IF(AND(ABS((B29-B28))&lt;500,ABS((C29-B28))&lt;500),1,IF(AND(ABS((B29-B28))&lt;500,ABS((C29-B28))&gt;=500),0,IF((B29-B28)*(C29-B28)&gt;0,1,0)))</f>
        <v/>
      </c>
      <c r="I29" s="6" t="n">
        <v>50650</v>
      </c>
      <c r="J29" s="7" t="n">
        <v>49591.02</v>
      </c>
      <c r="K29">
        <f>ABS(I29-J29)</f>
        <v/>
      </c>
      <c r="L29" s="8">
        <f>IF(I29=0,"-",1-ABS(I29-J29)/I29)</f>
        <v/>
      </c>
      <c r="M29">
        <f>IF((J29-I28)&gt;=500,IF(ABS((I29-I28))&lt;500,"",IF((I29-I28)&lt;0,-ABS((I29-I28)/(J29-I28)),MIN(1,ABS((I29-I28)/(J29-I28))))),IF((J29-I28)&lt;=-500,IF(ABS((I29-I28))&lt;500,"",IF((I29-I28)&gt;0,-ABS((I29-I28)/(J29-I28)),MIN(1,ABS((I29-I28)/(J29-I28))))),IF(ABS((I29-I28))&lt;500,1,MIN(1,500/ABS((I29-I28))))))</f>
        <v/>
      </c>
      <c r="N29">
        <f>IF(AND(ABS((I29-I28))&lt;500,ABS((J29-I28))&lt;500),1,IF(AND(ABS((I29-I28))&lt;500,ABS((J29-I28))&gt;=500),0,IF((I29-I28)*(J29-I28)&gt;0,1,0)))</f>
        <v/>
      </c>
      <c r="P29" s="6" t="n">
        <v>56000</v>
      </c>
      <c r="Q29" s="7" t="n">
        <v>55107.062</v>
      </c>
      <c r="R29">
        <f>ABS(P29-Q29)</f>
        <v/>
      </c>
      <c r="S29" s="8">
        <f>IF(P29=0,"-",1-ABS(P29-Q29)/P29)</f>
        <v/>
      </c>
      <c r="T29">
        <f>IF((Q29-P28)&gt;=500,IF(ABS((P29-P28))&lt;500,"",IF((P29-P28)&lt;0,-ABS((P29-P28)/(Q29-P28)),MIN(1,ABS((P29-P28)/(Q29-P28))))),IF((Q29-P28)&lt;=-500,IF(ABS((P29-P28))&lt;500,"",IF((P29-P28)&gt;0,-ABS((P29-P28)/(Q29-P28)),MIN(1,ABS((P29-P28)/(Q29-P28))))),IF(ABS((P29-P28))&lt;500,1,MIN(1,500/ABS((P29-P28))))))</f>
        <v/>
      </c>
      <c r="U29">
        <f>IF(AND(ABS((P29-P28))&lt;500,ABS((Q29-P28))&lt;500),1,IF(AND(ABS((P29-P28))&lt;500,ABS((Q29-P28))&gt;=500),0,IF((P29-P28)*(Q29-P28)&gt;0,1,0)))</f>
        <v/>
      </c>
      <c r="W29" s="6" t="n">
        <v>49450</v>
      </c>
      <c r="X29" s="7" t="n">
        <v>48895.43</v>
      </c>
      <c r="Y29">
        <f>ABS(W29-X29)</f>
        <v/>
      </c>
      <c r="Z29" s="8">
        <f>IF(W29=0,"-",1-ABS(W29-X29)/W29)</f>
        <v/>
      </c>
      <c r="AA29">
        <f>IF((X29-W28)&gt;=500,IF(ABS((W29-W28))&lt;500,"",IF((W29-W28)&lt;0,-ABS((W29-W28)/(X29-W28)),MIN(1,ABS((W29-W28)/(X29-W28))))),IF((X29-W28)&lt;=-500,IF(ABS((W29-W28))&lt;500,"",IF((W29-W28)&gt;0,-ABS((W29-W28)/(X29-W28)),MIN(1,ABS((W29-W28)/(X29-W28))))),IF(ABS((W29-W28))&lt;500,1,MIN(1,500/ABS((W29-W28))))))</f>
        <v/>
      </c>
      <c r="AB29">
        <f>IF(AND(ABS((W29-W28))&lt;500,ABS((X29-W28))&lt;500),1,IF(AND(ABS((W29-W28))&lt;500,ABS((X29-W28))&gt;=500),0,IF((W29-W28)*(X29-W28)&gt;0,1,0)))</f>
        <v/>
      </c>
      <c r="AD29" s="6" t="n">
        <v>43525</v>
      </c>
      <c r="AE29" s="7" t="n">
        <v>43166.31</v>
      </c>
      <c r="AF29">
        <f>ABS(AD29-AE29)</f>
        <v/>
      </c>
      <c r="AG29" s="8">
        <f>IF(AD29=0,"-",1-ABS(AD29-AE29)/AD29)</f>
        <v/>
      </c>
      <c r="AH29">
        <f>IF((AE29-AD28)&gt;=500,IF(ABS((AD29-AD28))&lt;500,"",IF((AD29-AD28)&lt;0,-ABS((AD29-AD28)/(AE29-AD28)),MIN(1,ABS((AD29-AD28)/(AE29-AD28))))),IF((AE29-AD28)&lt;=-500,IF(ABS((AD29-AD28))&lt;500,"",IF((AD29-AD28)&gt;0,-ABS((AD29-AD28)/(AE29-AD28)),MIN(1,ABS((AD29-AD28)/(AE29-AD28))))),IF(ABS((AD29-AD28))&lt;500,1,MIN(1,500/ABS((AD29-AD28))))))</f>
        <v/>
      </c>
      <c r="AI29">
        <f>IF(AND(ABS((AD29-AD28))&lt;500,ABS((AE29-AD28))&lt;500),1,IF(AND(ABS((AD29-AD28))&lt;500,ABS((AE29-AD28))&gt;=500),0,IF((AD29-AD28)*(AE29-AD28)&gt;0,1,0)))</f>
        <v/>
      </c>
      <c r="AK29" s="6" t="n">
        <v>49180</v>
      </c>
      <c r="AL29" s="7" t="n">
        <v>47942.734</v>
      </c>
      <c r="AM29">
        <f>ABS(AK29-AL29)</f>
        <v/>
      </c>
      <c r="AN29" s="8">
        <f>IF(AK29=0,"-",1-ABS(AK29-AL29)/AK29)</f>
        <v/>
      </c>
      <c r="AO29">
        <f>IF((AL29-AK28)&gt;=500,IF(ABS((AK29-AK28))&lt;500,"",IF((AK29-AK28)&lt;0,-ABS((AK29-AK28)/(AL29-AK28)),MIN(1,ABS((AK29-AK28)/(AL29-AK28))))),IF((AL29-AK28)&lt;=-500,IF(ABS((AK29-AK28))&lt;500,"",IF((AK29-AK28)&gt;0,-ABS((AK29-AK28)/(AL29-AK28)),MIN(1,ABS((AK29-AK28)/(AL29-AK28))))),IF(ABS((AK29-AK28))&lt;500,1,MIN(1,500/ABS((AK29-AK28))))))</f>
        <v/>
      </c>
      <c r="AP29">
        <f>IF(AND(ABS((AK29-AK28))&lt;500,ABS((AL29-AK28))&lt;500),1,IF(AND(ABS((AK29-AK28))&lt;500,ABS((AL29-AK28))&gt;=500),0,IF((AK29-AK28)*(AL29-AK28)&gt;0,1,0)))</f>
        <v/>
      </c>
    </row>
    <row r="30">
      <c r="A30" s="5" t="n">
        <v>45746</v>
      </c>
      <c r="B30" s="6" t="n">
        <v>51500</v>
      </c>
      <c r="C30" s="7" t="n">
        <v>49720.617</v>
      </c>
      <c r="D30">
        <f>ABS(B30-C30)</f>
        <v/>
      </c>
      <c r="E30" s="8">
        <f>IF(B30=0,"-",1-ABS(B30-C30)/B30)</f>
        <v/>
      </c>
      <c r="F30">
        <f>IF((C30-B29)&gt;=500,IF(ABS((B30-B29))&lt;500,"",IF((B30-B29)&lt;0,-ABS((B30-B29)/(C30-B29)),MIN(1,ABS((B30-B29)/(C30-B29))))),IF((C30-B29)&lt;=-500,IF(ABS((B30-B29))&lt;500,"",IF((B30-B29)&gt;0,-ABS((B30-B29)/(C30-B29)),MIN(1,ABS((B30-B29)/(C30-B29))))),IF(ABS((B30-B29))&lt;500,1,MIN(1,500/ABS((B30-B29))))))</f>
        <v/>
      </c>
      <c r="G30">
        <f>IF(AND(ABS((B30-B29))&lt;500,ABS((C30-B29))&lt;500),1,IF(AND(ABS((B30-B29))&lt;500,ABS((C30-B29))&gt;=500),0,IF((B30-B29)*(C30-B29)&gt;0,1,0)))</f>
        <v/>
      </c>
      <c r="I30" s="6" t="n">
        <v>52000</v>
      </c>
      <c r="J30" s="7" t="n">
        <v>50629.027</v>
      </c>
      <c r="K30">
        <f>ABS(I30-J30)</f>
        <v/>
      </c>
      <c r="L30" s="8">
        <f>IF(I30=0,"-",1-ABS(I30-J30)/I30)</f>
        <v/>
      </c>
      <c r="M30">
        <f>IF((J30-I29)&gt;=500,IF(ABS((I30-I29))&lt;500,"",IF((I30-I29)&lt;0,-ABS((I30-I29)/(J30-I29)),MIN(1,ABS((I30-I29)/(J30-I29))))),IF((J30-I29)&lt;=-500,IF(ABS((I30-I29))&lt;500,"",IF((I30-I29)&gt;0,-ABS((I30-I29)/(J30-I29)),MIN(1,ABS((I30-I29)/(J30-I29))))),IF(ABS((I30-I29))&lt;500,1,MIN(1,500/ABS((I30-I29))))))</f>
        <v/>
      </c>
      <c r="N30">
        <f>IF(AND(ABS((I30-I29))&lt;500,ABS((J30-I29))&lt;500),1,IF(AND(ABS((I30-I29))&lt;500,ABS((J30-I29))&gt;=500),0,IF((I30-I29)*(J30-I29)&gt;0,1,0)))</f>
        <v/>
      </c>
      <c r="P30" s="6" t="n">
        <v>57000</v>
      </c>
      <c r="Q30" s="7" t="n">
        <v>55931.17</v>
      </c>
      <c r="R30">
        <f>ABS(P30-Q30)</f>
        <v/>
      </c>
      <c r="S30" s="8">
        <f>IF(P30=0,"-",1-ABS(P30-Q30)/P30)</f>
        <v/>
      </c>
      <c r="T30">
        <f>IF((Q30-P29)&gt;=500,IF(ABS((P30-P29))&lt;500,"",IF((P30-P29)&lt;0,-ABS((P30-P29)/(Q30-P29)),MIN(1,ABS((P30-P29)/(Q30-P29))))),IF((Q30-P29)&lt;=-500,IF(ABS((P30-P29))&lt;500,"",IF((P30-P29)&gt;0,-ABS((P30-P29)/(Q30-P29)),MIN(1,ABS((P30-P29)/(Q30-P29))))),IF(ABS((P30-P29))&lt;500,1,MIN(1,500/ABS((P30-P29))))))</f>
        <v/>
      </c>
      <c r="U30">
        <f>IF(AND(ABS((P30-P29))&lt;500,ABS((Q30-P29))&lt;500),1,IF(AND(ABS((P30-P29))&lt;500,ABS((Q30-P29))&gt;=500),0,IF((P30-P29)*(Q30-P29)&gt;0,1,0)))</f>
        <v/>
      </c>
      <c r="W30" s="6" t="n">
        <v>49350</v>
      </c>
      <c r="X30" s="7" t="n">
        <v>49019.668</v>
      </c>
      <c r="Y30">
        <f>ABS(W30-X30)</f>
        <v/>
      </c>
      <c r="Z30" s="8">
        <f>IF(W30=0,"-",1-ABS(W30-X30)/W30)</f>
        <v/>
      </c>
      <c r="AA30">
        <f>IF((X30-W29)&gt;=500,IF(ABS((W30-W29))&lt;500,"",IF((W30-W29)&lt;0,-ABS((W30-W29)/(X30-W29)),MIN(1,ABS((W30-W29)/(X30-W29))))),IF((X30-W29)&lt;=-500,IF(ABS((W30-W29))&lt;500,"",IF((W30-W29)&gt;0,-ABS((W30-W29)/(X30-W29)),MIN(1,ABS((W30-W29)/(X30-W29))))),IF(ABS((W30-W29))&lt;500,1,MIN(1,500/ABS((W30-W29))))))</f>
        <v/>
      </c>
      <c r="AB30">
        <f>IF(AND(ABS((W30-W29))&lt;500,ABS((X30-W29))&lt;500),1,IF(AND(ABS((W30-W29))&lt;500,ABS((X30-W29))&gt;=500),0,IF((W30-W29)*(X30-W29)&gt;0,1,0)))</f>
        <v/>
      </c>
      <c r="AD30" s="6" t="n">
        <v>44600</v>
      </c>
      <c r="AE30" s="7" t="n">
        <v>42992.11</v>
      </c>
      <c r="AF30">
        <f>ABS(AD30-AE30)</f>
        <v/>
      </c>
      <c r="AG30" s="8">
        <f>IF(AD30=0,"-",1-ABS(AD30-AE30)/AD30)</f>
        <v/>
      </c>
      <c r="AH30">
        <f>IF((AE30-AD29)&gt;=500,IF(ABS((AD30-AD29))&lt;500,"",IF((AD30-AD29)&lt;0,-ABS((AD30-AD29)/(AE30-AD29)),MIN(1,ABS((AD30-AD29)/(AE30-AD29))))),IF((AE30-AD29)&lt;=-500,IF(ABS((AD30-AD29))&lt;500,"",IF((AD30-AD29)&gt;0,-ABS((AD30-AD29)/(AE30-AD29)),MIN(1,ABS((AD30-AD29)/(AE30-AD29))))),IF(ABS((AD30-AD29))&lt;500,1,MIN(1,500/ABS((AD30-AD29))))))</f>
        <v/>
      </c>
      <c r="AI30">
        <f>IF(AND(ABS((AD30-AD29))&lt;500,ABS((AE30-AD29))&lt;500),1,IF(AND(ABS((AD30-AD29))&lt;500,ABS((AE30-AD29))&gt;=500),0,IF((AD30-AD29)*(AE30-AD29)&gt;0,1,0)))</f>
        <v/>
      </c>
      <c r="AK30" s="6" t="n">
        <v>49483.33</v>
      </c>
      <c r="AL30" s="7" t="n">
        <v>49166.55</v>
      </c>
      <c r="AM30">
        <f>ABS(AK30-AL30)</f>
        <v/>
      </c>
      <c r="AN30" s="8">
        <f>IF(AK30=0,"-",1-ABS(AK30-AL30)/AK30)</f>
        <v/>
      </c>
      <c r="AO30">
        <f>IF((AL30-AK29)&gt;=500,IF(ABS((AK30-AK29))&lt;500,"",IF((AK30-AK29)&lt;0,-ABS((AK30-AK29)/(AL30-AK29)),MIN(1,ABS((AK30-AK29)/(AL30-AK29))))),IF((AL30-AK29)&lt;=-500,IF(ABS((AK30-AK29))&lt;500,"",IF((AK30-AK29)&gt;0,-ABS((AK30-AK29)/(AL30-AK29)),MIN(1,ABS((AK30-AK29)/(AL30-AK29))))),IF(ABS((AK30-AK29))&lt;500,1,MIN(1,500/ABS((AK30-AK29))))))</f>
        <v/>
      </c>
      <c r="AP30">
        <f>IF(AND(ABS((AK30-AK29))&lt;500,ABS((AL30-AK29))&lt;500),1,IF(AND(ABS((AK30-AK29))&lt;500,ABS((AL30-AK29))&gt;=500),0,IF((AK30-AK29)*(AL30-AK29)&gt;0,1,0)))</f>
        <v/>
      </c>
    </row>
    <row r="31">
      <c r="A31" s="5" t="n">
        <v>45753</v>
      </c>
      <c r="B31" s="6" t="n">
        <v>52000</v>
      </c>
      <c r="C31" s="7" t="n">
        <v>51410.465</v>
      </c>
      <c r="D31">
        <f>ABS(B31-C31)</f>
        <v/>
      </c>
      <c r="E31" s="8">
        <f>IF(B31=0,"-",1-ABS(B31-C31)/B31)</f>
        <v/>
      </c>
      <c r="F31">
        <f>IF((C31-B30)&gt;=500,IF(ABS((B31-B30))&lt;500,"",IF((B31-B30)&lt;0,-ABS((B31-B30)/(C31-B30)),MIN(1,ABS((B31-B30)/(C31-B30))))),IF((C31-B30)&lt;=-500,IF(ABS((B31-B30))&lt;500,"",IF((B31-B30)&gt;0,-ABS((B31-B30)/(C31-B30)),MIN(1,ABS((B31-B30)/(C31-B30))))),IF(ABS((B31-B30))&lt;500,1,MIN(1,500/ABS((B31-B30))))))</f>
        <v/>
      </c>
      <c r="G31">
        <f>IF(AND(ABS((B31-B30))&lt;500,ABS((C31-B30))&lt;500),1,IF(AND(ABS((B31-B30))&lt;500,ABS((C31-B30))&gt;=500),0,IF((B31-B30)*(C31-B30)&gt;0,1,0)))</f>
        <v/>
      </c>
      <c r="I31" s="6" t="n">
        <v>52350</v>
      </c>
      <c r="J31" s="7" t="n">
        <v>52136.4</v>
      </c>
      <c r="K31">
        <f>ABS(I31-J31)</f>
        <v/>
      </c>
      <c r="L31" s="8">
        <f>IF(I31=0,"-",1-ABS(I31-J31)/I31)</f>
        <v/>
      </c>
      <c r="M31">
        <f>IF((J31-I30)&gt;=500,IF(ABS((I31-I30))&lt;500,"",IF((I31-I30)&lt;0,-ABS((I31-I30)/(J31-I30)),MIN(1,ABS((I31-I30)/(J31-I30))))),IF((J31-I30)&lt;=-500,IF(ABS((I31-I30))&lt;500,"",IF((I31-I30)&gt;0,-ABS((I31-I30)/(J31-I30)),MIN(1,ABS((I31-I30)/(J31-I30))))),IF(ABS((I31-I30))&lt;500,1,MIN(1,500/ABS((I31-I30))))))</f>
        <v/>
      </c>
      <c r="N31">
        <f>IF(AND(ABS((I31-I30))&lt;500,ABS((J31-I30))&lt;500),1,IF(AND(ABS((I31-I30))&lt;500,ABS((J31-I30))&gt;=500),0,IF((I31-I30)*(J31-I30)&gt;0,1,0)))</f>
        <v/>
      </c>
      <c r="P31" s="6" t="n">
        <v>57200</v>
      </c>
      <c r="Q31" s="7" t="n">
        <v>56830.797</v>
      </c>
      <c r="R31">
        <f>ABS(P31-Q31)</f>
        <v/>
      </c>
      <c r="S31" s="8">
        <f>IF(P31=0,"-",1-ABS(P31-Q31)/P31)</f>
        <v/>
      </c>
      <c r="T31">
        <f>IF((Q31-P30)&gt;=500,IF(ABS((P31-P30))&lt;500,"",IF((P31-P30)&lt;0,-ABS((P31-P30)/(Q31-P30)),MIN(1,ABS((P31-P30)/(Q31-P30))))),IF((Q31-P30)&lt;=-500,IF(ABS((P31-P30))&lt;500,"",IF((P31-P30)&gt;0,-ABS((P31-P30)/(Q31-P30)),MIN(1,ABS((P31-P30)/(Q31-P30))))),IF(ABS((P31-P30))&lt;500,1,MIN(1,500/ABS((P31-P30))))))</f>
        <v/>
      </c>
      <c r="U31">
        <f>IF(AND(ABS((P31-P30))&lt;500,ABS((Q31-P30))&lt;500),1,IF(AND(ABS((P31-P30))&lt;500,ABS((Q31-P30))&gt;=500),0,IF((P31-P30)*(Q31-P30)&gt;0,1,0)))</f>
        <v/>
      </c>
      <c r="W31" s="6" t="n">
        <v>49366.67</v>
      </c>
      <c r="X31" s="7" t="n">
        <v>48969.426</v>
      </c>
      <c r="Y31">
        <f>ABS(W31-X31)</f>
        <v/>
      </c>
      <c r="Z31" s="8">
        <f>IF(W31=0,"-",1-ABS(W31-X31)/W31)</f>
        <v/>
      </c>
      <c r="AA31">
        <f>IF((X31-W30)&gt;=500,IF(ABS((W31-W30))&lt;500,"",IF((W31-W30)&lt;0,-ABS((W31-W30)/(X31-W30)),MIN(1,ABS((W31-W30)/(X31-W30))))),IF((X31-W30)&lt;=-500,IF(ABS((W31-W30))&lt;500,"",IF((W31-W30)&gt;0,-ABS((W31-W30)/(X31-W30)),MIN(1,ABS((W31-W30)/(X31-W30))))),IF(ABS((W31-W30))&lt;500,1,MIN(1,500/ABS((W31-W30))))))</f>
        <v/>
      </c>
      <c r="AB31">
        <f>IF(AND(ABS((W31-W30))&lt;500,ABS((X31-W30))&lt;500),1,IF(AND(ABS((W31-W30))&lt;500,ABS((X31-W30))&gt;=500),0,IF((W31-W30)*(X31-W30)&gt;0,1,0)))</f>
        <v/>
      </c>
      <c r="AD31" s="6" t="n">
        <v>45100</v>
      </c>
      <c r="AE31" s="7" t="n">
        <v>44108.844</v>
      </c>
      <c r="AF31">
        <f>ABS(AD31-AE31)</f>
        <v/>
      </c>
      <c r="AG31" s="8">
        <f>IF(AD31=0,"-",1-ABS(AD31-AE31)/AD31)</f>
        <v/>
      </c>
      <c r="AH31">
        <f>IF((AE31-AD30)&gt;=500,IF(ABS((AD31-AD30))&lt;500,"",IF((AD31-AD30)&lt;0,-ABS((AD31-AD30)/(AE31-AD30)),MIN(1,ABS((AD31-AD30)/(AE31-AD30))))),IF((AE31-AD30)&lt;=-500,IF(ABS((AD31-AD30))&lt;500,"",IF((AD31-AD30)&gt;0,-ABS((AD31-AD30)/(AE31-AD30)),MIN(1,ABS((AD31-AD30)/(AE31-AD30))))),IF(ABS((AD31-AD30))&lt;500,1,MIN(1,500/ABS((AD31-AD30))))))</f>
        <v/>
      </c>
      <c r="AI31">
        <f>IF(AND(ABS((AD31-AD30))&lt;500,ABS((AE31-AD30))&lt;500),1,IF(AND(ABS((AD31-AD30))&lt;500,ABS((AE31-AD30))&gt;=500),0,IF((AD31-AD30)*(AE31-AD30)&gt;0,1,0)))</f>
        <v/>
      </c>
      <c r="AK31" s="6" t="n">
        <v>50050</v>
      </c>
      <c r="AL31" s="7" t="n">
        <v>49361.52</v>
      </c>
      <c r="AM31">
        <f>ABS(AK31-AL31)</f>
        <v/>
      </c>
      <c r="AN31" s="8">
        <f>IF(AK31=0,"-",1-ABS(AK31-AL31)/AK31)</f>
        <v/>
      </c>
      <c r="AO31">
        <f>IF((AL31-AK30)&gt;=500,IF(ABS((AK31-AK30))&lt;500,"",IF((AK31-AK30)&lt;0,-ABS((AK31-AK30)/(AL31-AK30)),MIN(1,ABS((AK31-AK30)/(AL31-AK30))))),IF((AL31-AK30)&lt;=-500,IF(ABS((AK31-AK30))&lt;500,"",IF((AK31-AK30)&gt;0,-ABS((AK31-AK30)/(AL31-AK30)),MIN(1,ABS((AK31-AK30)/(AL31-AK30))))),IF(ABS((AK31-AK30))&lt;500,1,MIN(1,500/ABS((AK31-AK30))))))</f>
        <v/>
      </c>
      <c r="AP31">
        <f>IF(AND(ABS((AK31-AK30))&lt;500,ABS((AL31-AK30))&lt;500),1,IF(AND(ABS((AK31-AK30))&lt;500,ABS((AL31-AK30))&gt;=500),0,IF((AK31-AK30)*(AL31-AK30)&gt;0,1,0)))</f>
        <v/>
      </c>
    </row>
    <row r="32">
      <c r="A32" s="5" t="n">
        <v>45760</v>
      </c>
      <c r="B32" s="6" t="n">
        <v>51500</v>
      </c>
      <c r="C32" s="7" t="n">
        <v>52060.855</v>
      </c>
      <c r="D32">
        <f>ABS(B32-C32)</f>
        <v/>
      </c>
      <c r="E32" s="8">
        <f>IF(B32=0,"-",1-ABS(B32-C32)/B32)</f>
        <v/>
      </c>
      <c r="F32">
        <f>IF((C32-B31)&gt;=500,IF(ABS((B32-B31))&lt;500,"",IF((B32-B31)&lt;0,-ABS((B32-B31)/(C32-B31)),MIN(1,ABS((B32-B31)/(C32-B31))))),IF((C32-B31)&lt;=-500,IF(ABS((B32-B31))&lt;500,"",IF((B32-B31)&gt;0,-ABS((B32-B31)/(C32-B31)),MIN(1,ABS((B32-B31)/(C32-B31))))),IF(ABS((B32-B31))&lt;500,1,MIN(1,500/ABS((B32-B31))))))</f>
        <v/>
      </c>
      <c r="G32">
        <f>IF(AND(ABS((B32-B31))&lt;500,ABS((C32-B31))&lt;500),1,IF(AND(ABS((B32-B31))&lt;500,ABS((C32-B31))&gt;=500),0,IF((B32-B31)*(C32-B31)&gt;0,1,0)))</f>
        <v/>
      </c>
      <c r="I32" s="6" t="n">
        <v>51900</v>
      </c>
      <c r="J32" s="7" t="n">
        <v>52313.02</v>
      </c>
      <c r="K32">
        <f>ABS(I32-J32)</f>
        <v/>
      </c>
      <c r="L32" s="8">
        <f>IF(I32=0,"-",1-ABS(I32-J32)/I32)</f>
        <v/>
      </c>
      <c r="M32">
        <f>IF((J32-I31)&gt;=500,IF(ABS((I32-I31))&lt;500,"",IF((I32-I31)&lt;0,-ABS((I32-I31)/(J32-I31)),MIN(1,ABS((I32-I31)/(J32-I31))))),IF((J32-I31)&lt;=-500,IF(ABS((I32-I31))&lt;500,"",IF((I32-I31)&gt;0,-ABS((I32-I31)/(J32-I31)),MIN(1,ABS((I32-I31)/(J32-I31))))),IF(ABS((I32-I31))&lt;500,1,MIN(1,500/ABS((I32-I31))))))</f>
        <v/>
      </c>
      <c r="N32">
        <f>IF(AND(ABS((I32-I31))&lt;500,ABS((J32-I31))&lt;500),1,IF(AND(ABS((I32-I31))&lt;500,ABS((J32-I31))&gt;=500),0,IF((I32-I31)*(J32-I31)&gt;0,1,0)))</f>
        <v/>
      </c>
      <c r="P32" s="6" t="n">
        <v>57100</v>
      </c>
      <c r="Q32" s="7" t="n">
        <v>57142.875</v>
      </c>
      <c r="R32">
        <f>ABS(P32-Q32)</f>
        <v/>
      </c>
      <c r="S32" s="8">
        <f>IF(P32=0,"-",1-ABS(P32-Q32)/P32)</f>
        <v/>
      </c>
      <c r="T32">
        <f>IF((Q32-P31)&gt;=500,IF(ABS((P32-P31))&lt;500,"",IF((P32-P31)&lt;0,-ABS((P32-P31)/(Q32-P31)),MIN(1,ABS((P32-P31)/(Q32-P31))))),IF((Q32-P31)&lt;=-500,IF(ABS((P32-P31))&lt;500,"",IF((P32-P31)&gt;0,-ABS((P32-P31)/(Q32-P31)),MIN(1,ABS((P32-P31)/(Q32-P31))))),IF(ABS((P32-P31))&lt;500,1,MIN(1,500/ABS((P32-P31))))))</f>
        <v/>
      </c>
      <c r="U32">
        <f>IF(AND(ABS((P32-P31))&lt;500,ABS((Q32-P31))&lt;500),1,IF(AND(ABS((P32-P31))&lt;500,ABS((Q32-P31))&gt;=500),0,IF((P32-P31)*(Q32-P31)&gt;0,1,0)))</f>
        <v/>
      </c>
      <c r="W32" s="6" t="n">
        <v>49533.33</v>
      </c>
      <c r="X32" s="7" t="n">
        <v>48894.645</v>
      </c>
      <c r="Y32">
        <f>ABS(W32-X32)</f>
        <v/>
      </c>
      <c r="Z32" s="8">
        <f>IF(W32=0,"-",1-ABS(W32-X32)/W32)</f>
        <v/>
      </c>
      <c r="AA32">
        <f>IF((X32-W31)&gt;=500,IF(ABS((W32-W31))&lt;500,"",IF((W32-W31)&lt;0,-ABS((W32-W31)/(X32-W31)),MIN(1,ABS((W32-W31)/(X32-W31))))),IF((X32-W31)&lt;=-500,IF(ABS((W32-W31))&lt;500,"",IF((W32-W31)&gt;0,-ABS((W32-W31)/(X32-W31)),MIN(1,ABS((W32-W31)/(X32-W31))))),IF(ABS((W32-W31))&lt;500,1,MIN(1,500/ABS((W32-W31))))))</f>
        <v/>
      </c>
      <c r="AB32">
        <f>IF(AND(ABS((W32-W31))&lt;500,ABS((X32-W31))&lt;500),1,IF(AND(ABS((W32-W31))&lt;500,ABS((X32-W31))&gt;=500),0,IF((W32-W31)*(X32-W31)&gt;0,1,0)))</f>
        <v/>
      </c>
      <c r="AD32" s="6" t="n">
        <v>45966.67</v>
      </c>
      <c r="AE32" s="7" t="n">
        <v>44810.6</v>
      </c>
      <c r="AF32">
        <f>ABS(AD32-AE32)</f>
        <v/>
      </c>
      <c r="AG32" s="8">
        <f>IF(AD32=0,"-",1-ABS(AD32-AE32)/AD32)</f>
        <v/>
      </c>
      <c r="AH32">
        <f>IF((AE32-AD31)&gt;=500,IF(ABS((AD32-AD31))&lt;500,"",IF((AD32-AD31)&lt;0,-ABS((AD32-AD31)/(AE32-AD31)),MIN(1,ABS((AD32-AD31)/(AE32-AD31))))),IF((AE32-AD31)&lt;=-500,IF(ABS((AD32-AD31))&lt;500,"",IF((AD32-AD31)&gt;0,-ABS((AD32-AD31)/(AE32-AD31)),MIN(1,ABS((AD32-AD31)/(AE32-AD31))))),IF(ABS((AD32-AD31))&lt;500,1,MIN(1,500/ABS((AD32-AD31))))))</f>
        <v/>
      </c>
      <c r="AI32">
        <f>IF(AND(ABS((AD32-AD31))&lt;500,ABS((AE32-AD31))&lt;500),1,IF(AND(ABS((AD32-AD31))&lt;500,ABS((AE32-AD31))&gt;=500),0,IF((AD32-AD31)*(AE32-AD31)&gt;0,1,0)))</f>
        <v/>
      </c>
      <c r="AK32" s="6" t="n">
        <v>50000</v>
      </c>
      <c r="AL32" s="7" t="n">
        <v>49936.008</v>
      </c>
      <c r="AM32">
        <f>ABS(AK32-AL32)</f>
        <v/>
      </c>
      <c r="AN32" s="8">
        <f>IF(AK32=0,"-",1-ABS(AK32-AL32)/AK32)</f>
        <v/>
      </c>
      <c r="AO32">
        <f>IF((AL32-AK31)&gt;=500,IF(ABS((AK32-AK31))&lt;500,"",IF((AK32-AK31)&lt;0,-ABS((AK32-AK31)/(AL32-AK31)),MIN(1,ABS((AK32-AK31)/(AL32-AK31))))),IF((AL32-AK31)&lt;=-500,IF(ABS((AK32-AK31))&lt;500,"",IF((AK32-AK31)&gt;0,-ABS((AK32-AK31)/(AL32-AK31)),MIN(1,ABS((AK32-AK31)/(AL32-AK31))))),IF(ABS((AK32-AK31))&lt;500,1,MIN(1,500/ABS((AK32-AK31))))))</f>
        <v/>
      </c>
      <c r="AP32">
        <f>IF(AND(ABS((AK32-AK31))&lt;500,ABS((AL32-AK31))&lt;500),1,IF(AND(ABS((AK32-AK31))&lt;500,ABS((AL32-AK31))&gt;=500),0,IF((AK32-AK31)*(AL32-AK31)&gt;0,1,0)))</f>
        <v/>
      </c>
    </row>
    <row r="33">
      <c r="A33" s="5" t="n">
        <v>45767</v>
      </c>
      <c r="B33" s="6" t="n">
        <v>51500</v>
      </c>
      <c r="C33" s="7" t="n">
        <v>51431.594</v>
      </c>
      <c r="D33">
        <f>ABS(B33-C33)</f>
        <v/>
      </c>
      <c r="E33" s="8">
        <f>IF(B33=0,"-",1-ABS(B33-C33)/B33)</f>
        <v/>
      </c>
      <c r="F33">
        <f>IF((C33-B32)&gt;=500,IF(ABS((B33-B32))&lt;500,"",IF((B33-B32)&lt;0,-ABS((B33-B32)/(C33-B32)),MIN(1,ABS((B33-B32)/(C33-B32))))),IF((C33-B32)&lt;=-500,IF(ABS((B33-B32))&lt;500,"",IF((B33-B32)&gt;0,-ABS((B33-B32)/(C33-B32)),MIN(1,ABS((B33-B32)/(C33-B32))))),IF(ABS((B33-B32))&lt;500,1,MIN(1,500/ABS((B33-B32))))))</f>
        <v/>
      </c>
      <c r="G33">
        <f>IF(AND(ABS((B33-B32))&lt;500,ABS((C33-B32))&lt;500),1,IF(AND(ABS((B33-B32))&lt;500,ABS((C33-B32))&gt;=500),0,IF((B33-B32)*(C33-B32)&gt;0,1,0)))</f>
        <v/>
      </c>
      <c r="I33" s="6" t="n">
        <v>51400</v>
      </c>
      <c r="J33" s="7" t="n">
        <v>51743.094</v>
      </c>
      <c r="K33">
        <f>ABS(I33-J33)</f>
        <v/>
      </c>
      <c r="L33" s="8">
        <f>IF(I33=0,"-",1-ABS(I33-J33)/I33)</f>
        <v/>
      </c>
      <c r="M33">
        <f>IF((J33-I32)&gt;=500,IF(ABS((I33-I32))&lt;500,"",IF((I33-I32)&lt;0,-ABS((I33-I32)/(J33-I32)),MIN(1,ABS((I33-I32)/(J33-I32))))),IF((J33-I32)&lt;=-500,IF(ABS((I33-I32))&lt;500,"",IF((I33-I32)&gt;0,-ABS((I33-I32)/(J33-I32)),MIN(1,ABS((I33-I32)/(J33-I32))))),IF(ABS((I33-I32))&lt;500,1,MIN(1,500/ABS((I33-I32))))))</f>
        <v/>
      </c>
      <c r="N33">
        <f>IF(AND(ABS((I33-I32))&lt;500,ABS((J33-I32))&lt;500),1,IF(AND(ABS((I33-I32))&lt;500,ABS((J33-I32))&gt;=500),0,IF((I33-I32)*(J33-I32)&gt;0,1,0)))</f>
        <v/>
      </c>
      <c r="P33" s="6" t="n">
        <v>56900</v>
      </c>
      <c r="Q33" s="7" t="n">
        <v>57092.297</v>
      </c>
      <c r="R33">
        <f>ABS(P33-Q33)</f>
        <v/>
      </c>
      <c r="S33" s="8">
        <f>IF(P33=0,"-",1-ABS(P33-Q33)/P33)</f>
        <v/>
      </c>
      <c r="T33">
        <f>IF((Q33-P32)&gt;=500,IF(ABS((P33-P32))&lt;500,"",IF((P33-P32)&lt;0,-ABS((P33-P32)/(Q33-P32)),MIN(1,ABS((P33-P32)/(Q33-P32))))),IF((Q33-P32)&lt;=-500,IF(ABS((P33-P32))&lt;500,"",IF((P33-P32)&gt;0,-ABS((P33-P32)/(Q33-P32)),MIN(1,ABS((P33-P32)/(Q33-P32))))),IF(ABS((P33-P32))&lt;500,1,MIN(1,500/ABS((P33-P32))))))</f>
        <v/>
      </c>
      <c r="U33">
        <f>IF(AND(ABS((P33-P32))&lt;500,ABS((Q33-P32))&lt;500),1,IF(AND(ABS((P33-P32))&lt;500,ABS((Q33-P32))&gt;=500),0,IF((P33-P32)*(Q33-P32)&gt;0,1,0)))</f>
        <v/>
      </c>
      <c r="W33" s="6" t="n">
        <v>49400</v>
      </c>
      <c r="X33" s="7" t="n">
        <v>49111.223</v>
      </c>
      <c r="Y33">
        <f>ABS(W33-X33)</f>
        <v/>
      </c>
      <c r="Z33" s="8">
        <f>IF(W33=0,"-",1-ABS(W33-X33)/W33)</f>
        <v/>
      </c>
      <c r="AA33">
        <f>IF((X33-W32)&gt;=500,IF(ABS((W33-W32))&lt;500,"",IF((W33-W32)&lt;0,-ABS((W33-W32)/(X33-W32)),MIN(1,ABS((W33-W32)/(X33-W32))))),IF((X33-W32)&lt;=-500,IF(ABS((W33-W32))&lt;500,"",IF((W33-W32)&gt;0,-ABS((W33-W32)/(X33-W32)),MIN(1,ABS((W33-W32)/(X33-W32))))),IF(ABS((W33-W32))&lt;500,1,MIN(1,500/ABS((W33-W32))))))</f>
        <v/>
      </c>
      <c r="AB33">
        <f>IF(AND(ABS((W33-W32))&lt;500,ABS((X33-W32))&lt;500),1,IF(AND(ABS((W33-W32))&lt;500,ABS((X33-W32))&gt;=500),0,IF((W33-W32)*(X33-W32)&gt;0,1,0)))</f>
        <v/>
      </c>
      <c r="AD33" s="6" t="n">
        <v>45850</v>
      </c>
      <c r="AE33" s="7" t="n">
        <v>45644.43</v>
      </c>
      <c r="AF33">
        <f>ABS(AD33-AE33)</f>
        <v/>
      </c>
      <c r="AG33" s="8">
        <f>IF(AD33=0,"-",1-ABS(AD33-AE33)/AD33)</f>
        <v/>
      </c>
      <c r="AH33">
        <f>IF((AE33-AD32)&gt;=500,IF(ABS((AD33-AD32))&lt;500,"",IF((AD33-AD32)&lt;0,-ABS((AD33-AD32)/(AE33-AD32)),MIN(1,ABS((AD33-AD32)/(AE33-AD32))))),IF((AE33-AD32)&lt;=-500,IF(ABS((AD33-AD32))&lt;500,"",IF((AD33-AD32)&gt;0,-ABS((AD33-AD32)/(AE33-AD32)),MIN(1,ABS((AD33-AD32)/(AE33-AD32))))),IF(ABS((AD33-AD32))&lt;500,1,MIN(1,500/ABS((AD33-AD32))))))</f>
        <v/>
      </c>
      <c r="AI33">
        <f>IF(AND(ABS((AD33-AD32))&lt;500,ABS((AE33-AD32))&lt;500),1,IF(AND(ABS((AD33-AD32))&lt;500,ABS((AE33-AD32))&gt;=500),0,IF((AD33-AD32)*(AE33-AD32)&gt;0,1,0)))</f>
        <v/>
      </c>
      <c r="AK33" s="6" t="n">
        <v>49700</v>
      </c>
      <c r="AL33" s="7" t="n">
        <v>49813</v>
      </c>
      <c r="AM33">
        <f>ABS(AK33-AL33)</f>
        <v/>
      </c>
      <c r="AN33" s="8">
        <f>IF(AK33=0,"-",1-ABS(AK33-AL33)/AK33)</f>
        <v/>
      </c>
      <c r="AO33">
        <f>IF((AL33-AK32)&gt;=500,IF(ABS((AK33-AK32))&lt;500,"",IF((AK33-AK32)&lt;0,-ABS((AK33-AK32)/(AL33-AK32)),MIN(1,ABS((AK33-AK32)/(AL33-AK32))))),IF((AL33-AK32)&lt;=-500,IF(ABS((AK33-AK32))&lt;500,"",IF((AK33-AK32)&gt;0,-ABS((AK33-AK32)/(AL33-AK32)),MIN(1,ABS((AK33-AK32)/(AL33-AK32))))),IF(ABS((AK33-AK32))&lt;500,1,MIN(1,500/ABS((AK33-AK32))))))</f>
        <v/>
      </c>
      <c r="AP33">
        <f>IF(AND(ABS((AK33-AK32))&lt;500,ABS((AL33-AK32))&lt;500),1,IF(AND(ABS((AK33-AK32))&lt;500,ABS((AL33-AK32))&gt;=500),0,IF((AK33-AK32)*(AL33-AK32)&gt;0,1,0)))</f>
        <v/>
      </c>
    </row>
    <row r="34">
      <c r="A34" s="5" t="n">
        <v>45774</v>
      </c>
      <c r="B34" s="6" t="n">
        <v>52500</v>
      </c>
      <c r="C34" s="7" t="n">
        <v>51349.945</v>
      </c>
      <c r="D34">
        <f>ABS(B34-C34)</f>
        <v/>
      </c>
      <c r="E34" s="8">
        <f>IF(B34=0,"-",1-ABS(B34-C34)/B34)</f>
        <v/>
      </c>
      <c r="F34">
        <f>IF((C34-B33)&gt;=500,IF(ABS((B34-B33))&lt;500,"",IF((B34-B33)&lt;0,-ABS((B34-B33)/(C34-B33)),MIN(1,ABS((B34-B33)/(C34-B33))))),IF((C34-B33)&lt;=-500,IF(ABS((B34-B33))&lt;500,"",IF((B34-B33)&gt;0,-ABS((B34-B33)/(C34-B33)),MIN(1,ABS((B34-B33)/(C34-B33))))),IF(ABS((B34-B33))&lt;500,1,MIN(1,500/ABS((B34-B33))))))</f>
        <v/>
      </c>
      <c r="G34">
        <f>IF(AND(ABS((B34-B33))&lt;500,ABS((C34-B33))&lt;500),1,IF(AND(ABS((B34-B33))&lt;500,ABS((C34-B33))&gt;=500),0,IF((B34-B33)*(C34-B33)&gt;0,1,0)))</f>
        <v/>
      </c>
      <c r="I34" s="6" t="n">
        <v>52050</v>
      </c>
      <c r="J34" s="7" t="n">
        <v>51281.836</v>
      </c>
      <c r="K34">
        <f>ABS(I34-J34)</f>
        <v/>
      </c>
      <c r="L34" s="8">
        <f>IF(I34=0,"-",1-ABS(I34-J34)/I34)</f>
        <v/>
      </c>
      <c r="M34">
        <f>IF((J34-I33)&gt;=500,IF(ABS((I34-I33))&lt;500,"",IF((I34-I33)&lt;0,-ABS((I34-I33)/(J34-I33)),MIN(1,ABS((I34-I33)/(J34-I33))))),IF((J34-I33)&lt;=-500,IF(ABS((I34-I33))&lt;500,"",IF((I34-I33)&gt;0,-ABS((I34-I33)/(J34-I33)),MIN(1,ABS((I34-I33)/(J34-I33))))),IF(ABS((I34-I33))&lt;500,1,MIN(1,500/ABS((I34-I33))))))</f>
        <v/>
      </c>
      <c r="N34">
        <f>IF(AND(ABS((I34-I33))&lt;500,ABS((J34-I33))&lt;500),1,IF(AND(ABS((I34-I33))&lt;500,ABS((J34-I33))&gt;=500),0,IF((I34-I33)*(J34-I33)&gt;0,1,0)))</f>
        <v/>
      </c>
      <c r="P34" s="6" t="n">
        <v>56800</v>
      </c>
      <c r="Q34" s="7" t="n">
        <v>56940.88</v>
      </c>
      <c r="R34">
        <f>ABS(P34-Q34)</f>
        <v/>
      </c>
      <c r="S34" s="8">
        <f>IF(P34=0,"-",1-ABS(P34-Q34)/P34)</f>
        <v/>
      </c>
      <c r="T34">
        <f>IF((Q34-P33)&gt;=500,IF(ABS((P34-P33))&lt;500,"",IF((P34-P33)&lt;0,-ABS((P34-P33)/(Q34-P33)),MIN(1,ABS((P34-P33)/(Q34-P33))))),IF((Q34-P33)&lt;=-500,IF(ABS((P34-P33))&lt;500,"",IF((P34-P33)&gt;0,-ABS((P34-P33)/(Q34-P33)),MIN(1,ABS((P34-P33)/(Q34-P33))))),IF(ABS((P34-P33))&lt;500,1,MIN(1,500/ABS((P34-P33))))))</f>
        <v/>
      </c>
      <c r="U34">
        <f>IF(AND(ABS((P34-P33))&lt;500,ABS((Q34-P33))&lt;500),1,IF(AND(ABS((P34-P33))&lt;500,ABS((Q34-P33))&gt;=500),0,IF((P34-P33)*(Q34-P33)&gt;0,1,0)))</f>
        <v/>
      </c>
      <c r="W34" s="6" t="n">
        <v>49333.33</v>
      </c>
      <c r="X34" s="7" t="n">
        <v>49024.254</v>
      </c>
      <c r="Y34">
        <f>ABS(W34-X34)</f>
        <v/>
      </c>
      <c r="Z34" s="8">
        <f>IF(W34=0,"-",1-ABS(W34-X34)/W34)</f>
        <v/>
      </c>
      <c r="AA34">
        <f>IF((X34-W33)&gt;=500,IF(ABS((W34-W33))&lt;500,"",IF((W34-W33)&lt;0,-ABS((W34-W33)/(X34-W33)),MIN(1,ABS((W34-W33)/(X34-W33))))),IF((X34-W33)&lt;=-500,IF(ABS((W34-W33))&lt;500,"",IF((W34-W33)&gt;0,-ABS((W34-W33)/(X34-W33)),MIN(1,ABS((W34-W33)/(X34-W33))))),IF(ABS((W34-W33))&lt;500,1,MIN(1,500/ABS((W34-W33))))))</f>
        <v/>
      </c>
      <c r="AB34">
        <f>IF(AND(ABS((W34-W33))&lt;500,ABS((X34-W33))&lt;500),1,IF(AND(ABS((W34-W33))&lt;500,ABS((X34-W33))&gt;=500),0,IF((W34-W33)*(X34-W33)&gt;0,1,0)))</f>
        <v/>
      </c>
      <c r="AD34" s="6" t="n">
        <v>45366.67</v>
      </c>
      <c r="AE34" s="7" t="n">
        <v>45627.56</v>
      </c>
      <c r="AF34">
        <f>ABS(AD34-AE34)</f>
        <v/>
      </c>
      <c r="AG34" s="8">
        <f>IF(AD34=0,"-",1-ABS(AD34-AE34)/AD34)</f>
        <v/>
      </c>
      <c r="AH34">
        <f>IF((AE34-AD33)&gt;=500,IF(ABS((AD34-AD33))&lt;500,"",IF((AD34-AD33)&lt;0,-ABS((AD34-AD33)/(AE34-AD33)),MIN(1,ABS((AD34-AD33)/(AE34-AD33))))),IF((AE34-AD33)&lt;=-500,IF(ABS((AD34-AD33))&lt;500,"",IF((AD34-AD33)&gt;0,-ABS((AD34-AD33)/(AE34-AD33)),MIN(1,ABS((AD34-AD33)/(AE34-AD33))))),IF(ABS((AD34-AD33))&lt;500,1,MIN(1,500/ABS((AD34-AD33))))))</f>
        <v/>
      </c>
      <c r="AI34">
        <f>IF(AND(ABS((AD34-AD33))&lt;500,ABS((AE34-AD33))&lt;500),1,IF(AND(ABS((AD34-AD33))&lt;500,ABS((AE34-AD33))&gt;=500),0,IF((AD34-AD33)*(AE34-AD33)&gt;0,1,0)))</f>
        <v/>
      </c>
      <c r="AK34" s="6" t="n">
        <v>49350</v>
      </c>
      <c r="AL34" s="7" t="n">
        <v>49407.473</v>
      </c>
      <c r="AM34">
        <f>ABS(AK34-AL34)</f>
        <v/>
      </c>
      <c r="AN34" s="8">
        <f>IF(AK34=0,"-",1-ABS(AK34-AL34)/AK34)</f>
        <v/>
      </c>
      <c r="AO34">
        <f>IF((AL34-AK33)&gt;=500,IF(ABS((AK34-AK33))&lt;500,"",IF((AK34-AK33)&lt;0,-ABS((AK34-AK33)/(AL34-AK33)),MIN(1,ABS((AK34-AK33)/(AL34-AK33))))),IF((AL34-AK33)&lt;=-500,IF(ABS((AK34-AK33))&lt;500,"",IF((AK34-AK33)&gt;0,-ABS((AK34-AK33)/(AL34-AK33)),MIN(1,ABS((AK34-AK33)/(AL34-AK33))))),IF(ABS((AK34-AK33))&lt;500,1,MIN(1,500/ABS((AK34-AK33))))))</f>
        <v/>
      </c>
      <c r="AP34">
        <f>IF(AND(ABS((AK34-AK33))&lt;500,ABS((AL34-AK33))&lt;500),1,IF(AND(ABS((AK34-AK33))&lt;500,ABS((AL34-AK33))&gt;=500),0,IF((AK34-AK33)*(AL34-AK33)&gt;0,1,0)))</f>
        <v/>
      </c>
    </row>
    <row r="35">
      <c r="A35" s="5" t="n">
        <v>45781</v>
      </c>
      <c r="B35" s="6" t="n">
        <v>53000</v>
      </c>
      <c r="C35" s="7" t="n">
        <v>52430.562</v>
      </c>
      <c r="D35">
        <f>ABS(B35-C35)</f>
        <v/>
      </c>
      <c r="E35" s="8">
        <f>IF(B35=0,"-",1-ABS(B35-C35)/B35)</f>
        <v/>
      </c>
      <c r="F35">
        <f>IF((C35-B34)&gt;=500,IF(ABS((B35-B34))&lt;500,"",IF((B35-B34)&lt;0,-ABS((B35-B34)/(C35-B34)),MIN(1,ABS((B35-B34)/(C35-B34))))),IF((C35-B34)&lt;=-500,IF(ABS((B35-B34))&lt;500,"",IF((B35-B34)&gt;0,-ABS((B35-B34)/(C35-B34)),MIN(1,ABS((B35-B34)/(C35-B34))))),IF(ABS((B35-B34))&lt;500,1,MIN(1,500/ABS((B35-B34))))))</f>
        <v/>
      </c>
      <c r="G35">
        <f>IF(AND(ABS((B35-B34))&lt;500,ABS((C35-B34))&lt;500),1,IF(AND(ABS((B35-B34))&lt;500,ABS((C35-B34))&gt;=500),0,IF((B35-B34)*(C35-B34)&gt;0,1,0)))</f>
        <v/>
      </c>
      <c r="I35" s="6" t="n">
        <v>52850</v>
      </c>
      <c r="J35" s="7" t="n">
        <v>52178.117</v>
      </c>
      <c r="K35">
        <f>ABS(I35-J35)</f>
        <v/>
      </c>
      <c r="L35" s="8">
        <f>IF(I35=0,"-",1-ABS(I35-J35)/I35)</f>
        <v/>
      </c>
      <c r="M35">
        <f>IF((J35-I34)&gt;=500,IF(ABS((I35-I34))&lt;500,"",IF((I35-I34)&lt;0,-ABS((I35-I34)/(J35-I34)),MIN(1,ABS((I35-I34)/(J35-I34))))),IF((J35-I34)&lt;=-500,IF(ABS((I35-I34))&lt;500,"",IF((I35-I34)&gt;0,-ABS((I35-I34)/(J35-I34)),MIN(1,ABS((I35-I34)/(J35-I34))))),IF(ABS((I35-I34))&lt;500,1,MIN(1,500/ABS((I35-I34))))))</f>
        <v/>
      </c>
      <c r="N35">
        <f>IF(AND(ABS((I35-I34))&lt;500,ABS((J35-I34))&lt;500),1,IF(AND(ABS((I35-I34))&lt;500,ABS((J35-I34))&gt;=500),0,IF((I35-I34)*(J35-I34)&gt;0,1,0)))</f>
        <v/>
      </c>
      <c r="P35" s="6" t="n">
        <v>56700</v>
      </c>
      <c r="Q35" s="7" t="n">
        <v>56802.895</v>
      </c>
      <c r="R35">
        <f>ABS(P35-Q35)</f>
        <v/>
      </c>
      <c r="S35" s="8">
        <f>IF(P35=0,"-",1-ABS(P35-Q35)/P35)</f>
        <v/>
      </c>
      <c r="T35">
        <f>IF((Q35-P34)&gt;=500,IF(ABS((P35-P34))&lt;500,"",IF((P35-P34)&lt;0,-ABS((P35-P34)/(Q35-P34)),MIN(1,ABS((P35-P34)/(Q35-P34))))),IF((Q35-P34)&lt;=-500,IF(ABS((P35-P34))&lt;500,"",IF((P35-P34)&gt;0,-ABS((P35-P34)/(Q35-P34)),MIN(1,ABS((P35-P34)/(Q35-P34))))),IF(ABS((P35-P34))&lt;500,1,MIN(1,500/ABS((P35-P34))))))</f>
        <v/>
      </c>
      <c r="U35">
        <f>IF(AND(ABS((P35-P34))&lt;500,ABS((Q35-P34))&lt;500),1,IF(AND(ABS((P35-P34))&lt;500,ABS((Q35-P34))&gt;=500),0,IF((P35-P34)*(Q35-P34)&gt;0,1,0)))</f>
        <v/>
      </c>
      <c r="W35" s="6" t="n">
        <v>49416.67</v>
      </c>
      <c r="X35" s="7" t="n">
        <v>49014.184</v>
      </c>
      <c r="Y35">
        <f>ABS(W35-X35)</f>
        <v/>
      </c>
      <c r="Z35" s="8">
        <f>IF(W35=0,"-",1-ABS(W35-X35)/W35)</f>
        <v/>
      </c>
      <c r="AA35">
        <f>IF((X35-W34)&gt;=500,IF(ABS((W35-W34))&lt;500,"",IF((W35-W34)&lt;0,-ABS((W35-W34)/(X35-W34)),MIN(1,ABS((W35-W34)/(X35-W34))))),IF((X35-W34)&lt;=-500,IF(ABS((W35-W34))&lt;500,"",IF((W35-W34)&gt;0,-ABS((W35-W34)/(X35-W34)),MIN(1,ABS((W35-W34)/(X35-W34))))),IF(ABS((W35-W34))&lt;500,1,MIN(1,500/ABS((W35-W34))))))</f>
        <v/>
      </c>
      <c r="AB35">
        <f>IF(AND(ABS((W35-W34))&lt;500,ABS((X35-W34))&lt;500),1,IF(AND(ABS((W35-W34))&lt;500,ABS((X35-W34))&gt;=500),0,IF((W35-W34)*(X35-W34)&gt;0,1,0)))</f>
        <v/>
      </c>
      <c r="AD35" s="6" t="n">
        <v>45116.67</v>
      </c>
      <c r="AE35" s="7" t="n">
        <v>45258.117</v>
      </c>
      <c r="AF35">
        <f>ABS(AD35-AE35)</f>
        <v/>
      </c>
      <c r="AG35" s="8">
        <f>IF(AD35=0,"-",1-ABS(AD35-AE35)/AD35)</f>
        <v/>
      </c>
      <c r="AH35">
        <f>IF((AE35-AD34)&gt;=500,IF(ABS((AD35-AD34))&lt;500,"",IF((AD35-AD34)&lt;0,-ABS((AD35-AD34)/(AE35-AD34)),MIN(1,ABS((AD35-AD34)/(AE35-AD34))))),IF((AE35-AD34)&lt;=-500,IF(ABS((AD35-AD34))&lt;500,"",IF((AD35-AD34)&gt;0,-ABS((AD35-AD34)/(AE35-AD34)),MIN(1,ABS((AD35-AD34)/(AE35-AD34))))),IF(ABS((AD35-AD34))&lt;500,1,MIN(1,500/ABS((AD35-AD34))))))</f>
        <v/>
      </c>
      <c r="AI35">
        <f>IF(AND(ABS((AD35-AD34))&lt;500,ABS((AE35-AD34))&lt;500),1,IF(AND(ABS((AD35-AD34))&lt;500,ABS((AE35-AD34))&gt;=500),0,IF((AD35-AD34)*(AE35-AD34)&gt;0,1,0)))</f>
        <v/>
      </c>
      <c r="AK35" s="6" t="n">
        <v>48750</v>
      </c>
      <c r="AL35" s="7" t="n">
        <v>49125.14</v>
      </c>
      <c r="AM35">
        <f>ABS(AK35-AL35)</f>
        <v/>
      </c>
      <c r="AN35" s="8">
        <f>IF(AK35=0,"-",1-ABS(AK35-AL35)/AK35)</f>
        <v/>
      </c>
      <c r="AO35">
        <f>IF((AL35-AK34)&gt;=500,IF(ABS((AK35-AK34))&lt;500,"",IF((AK35-AK34)&lt;0,-ABS((AK35-AK34)/(AL35-AK34)),MIN(1,ABS((AK35-AK34)/(AL35-AK34))))),IF((AL35-AK34)&lt;=-500,IF(ABS((AK35-AK34))&lt;500,"",IF((AK35-AK34)&gt;0,-ABS((AK35-AK34)/(AL35-AK34)),MIN(1,ABS((AK35-AK34)/(AL35-AK34))))),IF(ABS((AK35-AK34))&lt;500,1,MIN(1,500/ABS((AK35-AK34))))))</f>
        <v/>
      </c>
      <c r="AP35">
        <f>IF(AND(ABS((AK35-AK34))&lt;500,ABS((AL35-AK34))&lt;500),1,IF(AND(ABS((AK35-AK34))&lt;500,ABS((AL35-AK34))&gt;=500),0,IF((AK35-AK34)*(AL35-AK34)&gt;0,1,0)))</f>
        <v/>
      </c>
    </row>
    <row r="36">
      <c r="A36" s="5" t="n">
        <v>45788</v>
      </c>
      <c r="B36" s="6" t="n">
        <v>53000</v>
      </c>
      <c r="C36" s="7" t="n">
        <v>53102.67</v>
      </c>
      <c r="D36">
        <f>ABS(B36-C36)</f>
        <v/>
      </c>
      <c r="E36" s="8">
        <f>IF(B36=0,"-",1-ABS(B36-C36)/B36)</f>
        <v/>
      </c>
      <c r="F36">
        <f>IF((C36-B35)&gt;=500,IF(ABS((B36-B35))&lt;500,"",IF((B36-B35)&lt;0,-ABS((B36-B35)/(C36-B35)),MIN(1,ABS((B36-B35)/(C36-B35))))),IF((C36-B35)&lt;=-500,IF(ABS((B36-B35))&lt;500,"",IF((B36-B35)&gt;0,-ABS((B36-B35)/(C36-B35)),MIN(1,ABS((B36-B35)/(C36-B35))))),IF(ABS((B36-B35))&lt;500,1,MIN(1,500/ABS((B36-B35))))))</f>
        <v/>
      </c>
      <c r="G36">
        <f>IF(AND(ABS((B36-B35))&lt;500,ABS((C36-B35))&lt;500),1,IF(AND(ABS((B36-B35))&lt;500,ABS((C36-B35))&gt;=500),0,IF((B36-B35)*(C36-B35)&gt;0,1,0)))</f>
        <v/>
      </c>
      <c r="I36" s="6" t="n">
        <v>52500</v>
      </c>
      <c r="J36" s="7" t="n">
        <v>52834.51</v>
      </c>
      <c r="K36">
        <f>ABS(I36-J36)</f>
        <v/>
      </c>
      <c r="L36" s="8">
        <f>IF(I36=0,"-",1-ABS(I36-J36)/I36)</f>
        <v/>
      </c>
      <c r="M36">
        <f>IF((J36-I35)&gt;=500,IF(ABS((I36-I35))&lt;500,"",IF((I36-I35)&lt;0,-ABS((I36-I35)/(J36-I35)),MIN(1,ABS((I36-I35)/(J36-I35))))),IF((J36-I35)&lt;=-500,IF(ABS((I36-I35))&lt;500,"",IF((I36-I35)&gt;0,-ABS((I36-I35)/(J36-I35)),MIN(1,ABS((I36-I35)/(J36-I35))))),IF(ABS((I36-I35))&lt;500,1,MIN(1,500/ABS((I36-I35))))))</f>
        <v/>
      </c>
      <c r="N36">
        <f>IF(AND(ABS((I36-I35))&lt;500,ABS((J36-I35))&lt;500),1,IF(AND(ABS((I36-I35))&lt;500,ABS((J36-I35))&gt;=500),0,IF((I36-I35)*(J36-I35)&gt;0,1,0)))</f>
        <v/>
      </c>
      <c r="P36" s="6" t="n">
        <v>56400</v>
      </c>
      <c r="Q36" s="7" t="n">
        <v>56602.21</v>
      </c>
      <c r="R36">
        <f>ABS(P36-Q36)</f>
        <v/>
      </c>
      <c r="S36" s="8">
        <f>IF(P36=0,"-",1-ABS(P36-Q36)/P36)</f>
        <v/>
      </c>
      <c r="T36">
        <f>IF((Q36-P35)&gt;=500,IF(ABS((P36-P35))&lt;500,"",IF((P36-P35)&lt;0,-ABS((P36-P35)/(Q36-P35)),MIN(1,ABS((P36-P35)/(Q36-P35))))),IF((Q36-P35)&lt;=-500,IF(ABS((P36-P35))&lt;500,"",IF((P36-P35)&gt;0,-ABS((P36-P35)/(Q36-P35)),MIN(1,ABS((P36-P35)/(Q36-P35))))),IF(ABS((P36-P35))&lt;500,1,MIN(1,500/ABS((P36-P35))))))</f>
        <v/>
      </c>
      <c r="U36">
        <f>IF(AND(ABS((P36-P35))&lt;500,ABS((Q36-P35))&lt;500),1,IF(AND(ABS((P36-P35))&lt;500,ABS((Q36-P35))&gt;=500),0,IF((P36-P35)*(Q36-P35)&gt;0,1,0)))</f>
        <v/>
      </c>
      <c r="W36" s="6" t="n">
        <v>49133.33</v>
      </c>
      <c r="X36" s="7" t="n">
        <v>49237.195</v>
      </c>
      <c r="Y36">
        <f>ABS(W36-X36)</f>
        <v/>
      </c>
      <c r="Z36" s="8">
        <f>IF(W36=0,"-",1-ABS(W36-X36)/W36)</f>
        <v/>
      </c>
      <c r="AA36">
        <f>IF((X36-W35)&gt;=500,IF(ABS((W36-W35))&lt;500,"",IF((W36-W35)&lt;0,-ABS((W36-W35)/(X36-W35)),MIN(1,ABS((W36-W35)/(X36-W35))))),IF((X36-W35)&lt;=-500,IF(ABS((W36-W35))&lt;500,"",IF((W36-W35)&gt;0,-ABS((W36-W35)/(X36-W35)),MIN(1,ABS((W36-W35)/(X36-W35))))),IF(ABS((W36-W35))&lt;500,1,MIN(1,500/ABS((W36-W35))))))</f>
        <v/>
      </c>
      <c r="AB36">
        <f>IF(AND(ABS((W36-W35))&lt;500,ABS((X36-W35))&lt;500),1,IF(AND(ABS((W36-W35))&lt;500,ABS((X36-W35))&gt;=500),0,IF((W36-W35)*(X36-W35)&gt;0,1,0)))</f>
        <v/>
      </c>
      <c r="AD36" s="6" t="n">
        <v>44600</v>
      </c>
      <c r="AE36" s="7" t="n">
        <v>45161.35</v>
      </c>
      <c r="AF36">
        <f>ABS(AD36-AE36)</f>
        <v/>
      </c>
      <c r="AG36" s="8">
        <f>IF(AD36=0,"-",1-ABS(AD36-AE36)/AD36)</f>
        <v/>
      </c>
      <c r="AH36">
        <f>IF((AE36-AD35)&gt;=500,IF(ABS((AD36-AD35))&lt;500,"",IF((AD36-AD35)&lt;0,-ABS((AD36-AD35)/(AE36-AD35)),MIN(1,ABS((AD36-AD35)/(AE36-AD35))))),IF((AE36-AD35)&lt;=-500,IF(ABS((AD36-AD35))&lt;500,"",IF((AD36-AD35)&gt;0,-ABS((AD36-AD35)/(AE36-AD35)),MIN(1,ABS((AD36-AD35)/(AE36-AD35))))),IF(ABS((AD36-AD35))&lt;500,1,MIN(1,500/ABS((AD36-AD35))))))</f>
        <v/>
      </c>
      <c r="AI36">
        <f>IF(AND(ABS((AD36-AD35))&lt;500,ABS((AE36-AD35))&lt;500),1,IF(AND(ABS((AD36-AD35))&lt;500,ABS((AE36-AD35))&gt;=500),0,IF((AD36-AD35)*(AE36-AD35)&gt;0,1,0)))</f>
        <v/>
      </c>
      <c r="AK36" s="6" t="n">
        <v>48483.33</v>
      </c>
      <c r="AL36" s="7" t="n">
        <v>48688.367</v>
      </c>
      <c r="AM36">
        <f>ABS(AK36-AL36)</f>
        <v/>
      </c>
      <c r="AN36" s="8">
        <f>IF(AK36=0,"-",1-ABS(AK36-AL36)/AK36)</f>
        <v/>
      </c>
      <c r="AO36">
        <f>IF((AL36-AK35)&gt;=500,IF(ABS((AK36-AK35))&lt;500,"",IF((AK36-AK35)&lt;0,-ABS((AK36-AK35)/(AL36-AK35)),MIN(1,ABS((AK36-AK35)/(AL36-AK35))))),IF((AL36-AK35)&lt;=-500,IF(ABS((AK36-AK35))&lt;500,"",IF((AK36-AK35)&gt;0,-ABS((AK36-AK35)/(AL36-AK35)),MIN(1,ABS((AK36-AK35)/(AL36-AK35))))),IF(ABS((AK36-AK35))&lt;500,1,MIN(1,500/ABS((AK36-AK35))))))</f>
        <v/>
      </c>
      <c r="AP36">
        <f>IF(AND(ABS((AK36-AK35))&lt;500,ABS((AL36-AK35))&lt;500),1,IF(AND(ABS((AK36-AK35))&lt;500,ABS((AL36-AK35))&gt;=500),0,IF((AK36-AK35)*(AL36-AK35)&gt;0,1,0)))</f>
        <v/>
      </c>
    </row>
    <row r="37">
      <c r="A37" s="5" t="n">
        <v>45795</v>
      </c>
      <c r="B37" s="6" t="n">
        <v>53300</v>
      </c>
      <c r="C37" s="7" t="n">
        <v>53240.754</v>
      </c>
      <c r="D37">
        <f>ABS(B37-C37)</f>
        <v/>
      </c>
      <c r="E37" s="8">
        <f>IF(B37=0,"-",1-ABS(B37-C37)/B37)</f>
        <v/>
      </c>
      <c r="F37">
        <f>IF((C37-B36)&gt;=500,IF(ABS((B37-B36))&lt;500,"",IF((B37-B36)&lt;0,-ABS((B37-B36)/(C37-B36)),MIN(1,ABS((B37-B36)/(C37-B36))))),IF((C37-B36)&lt;=-500,IF(ABS((B37-B36))&lt;500,"",IF((B37-B36)&gt;0,-ABS((B37-B36)/(C37-B36)),MIN(1,ABS((B37-B36)/(C37-B36))))),IF(ABS((B37-B36))&lt;500,1,MIN(1,500/ABS((B37-B36))))))</f>
        <v/>
      </c>
      <c r="G37">
        <f>IF(AND(ABS((B37-B36))&lt;500,ABS((C37-B36))&lt;500),1,IF(AND(ABS((B37-B36))&lt;500,ABS((C37-B36))&gt;=500),0,IF((B37-B36)*(C37-B36)&gt;0,1,0)))</f>
        <v/>
      </c>
      <c r="I37" s="6" t="n">
        <v>51950</v>
      </c>
      <c r="J37" s="7" t="n">
        <v>52277.137</v>
      </c>
      <c r="K37">
        <f>ABS(I37-J37)</f>
        <v/>
      </c>
      <c r="L37" s="8">
        <f>IF(I37=0,"-",1-ABS(I37-J37)/I37)</f>
        <v/>
      </c>
      <c r="M37">
        <f>IF((J37-I36)&gt;=500,IF(ABS((I37-I36))&lt;500,"",IF((I37-I36)&lt;0,-ABS((I37-I36)/(J37-I36)),MIN(1,ABS((I37-I36)/(J37-I36))))),IF((J37-I36)&lt;=-500,IF(ABS((I37-I36))&lt;500,"",IF((I37-I36)&gt;0,-ABS((I37-I36)/(J37-I36)),MIN(1,ABS((I37-I36)/(J37-I36))))),IF(ABS((I37-I36))&lt;500,1,MIN(1,500/ABS((I37-I36))))))</f>
        <v/>
      </c>
      <c r="N37">
        <f>IF(AND(ABS((I37-I36))&lt;500,ABS((J37-I36))&lt;500),1,IF(AND(ABS((I37-I36))&lt;500,ABS((J37-I36))&gt;=500),0,IF((I37-I36)*(J37-I36)&gt;0,1,0)))</f>
        <v/>
      </c>
      <c r="P37" s="6" t="n">
        <v>56000</v>
      </c>
      <c r="Q37" s="7" t="n">
        <v>56305.9</v>
      </c>
      <c r="R37">
        <f>ABS(P37-Q37)</f>
        <v/>
      </c>
      <c r="S37" s="8">
        <f>IF(P37=0,"-",1-ABS(P37-Q37)/P37)</f>
        <v/>
      </c>
      <c r="T37">
        <f>IF((Q37-P36)&gt;=500,IF(ABS((P37-P36))&lt;500,"",IF((P37-P36)&lt;0,-ABS((P37-P36)/(Q37-P36)),MIN(1,ABS((P37-P36)/(Q37-P36))))),IF((Q37-P36)&lt;=-500,IF(ABS((P37-P36))&lt;500,"",IF((P37-P36)&gt;0,-ABS((P37-P36)/(Q37-P36)),MIN(1,ABS((P37-P36)/(Q37-P36))))),IF(ABS((P37-P36))&lt;500,1,MIN(1,500/ABS((P37-P36))))))</f>
        <v/>
      </c>
      <c r="U37">
        <f>IF(AND(ABS((P37-P36))&lt;500,ABS((Q37-P36))&lt;500),1,IF(AND(ABS((P37-P36))&lt;500,ABS((Q37-P36))&gt;=500),0,IF((P37-P36)*(Q37-P36)&gt;0,1,0)))</f>
        <v/>
      </c>
      <c r="W37" s="6" t="n">
        <v>48266.67</v>
      </c>
      <c r="X37" s="7" t="n">
        <v>48968.97</v>
      </c>
      <c r="Y37">
        <f>ABS(W37-X37)</f>
        <v/>
      </c>
      <c r="Z37" s="8">
        <f>IF(W37=0,"-",1-ABS(W37-X37)/W37)</f>
        <v/>
      </c>
      <c r="AA37">
        <f>IF((X37-W36)&gt;=500,IF(ABS((W37-W36))&lt;500,"",IF((W37-W36)&lt;0,-ABS((W37-W36)/(X37-W36)),MIN(1,ABS((W37-W36)/(X37-W36))))),IF((X37-W36)&lt;=-500,IF(ABS((W37-W36))&lt;500,"",IF((W37-W36)&gt;0,-ABS((W37-W36)/(X37-W36)),MIN(1,ABS((W37-W36)/(X37-W36))))),IF(ABS((W37-W36))&lt;500,1,MIN(1,500/ABS((W37-W36))))))</f>
        <v/>
      </c>
      <c r="AB37">
        <f>IF(AND(ABS((W37-W36))&lt;500,ABS((X37-W36))&lt;500),1,IF(AND(ABS((W37-W36))&lt;500,ABS((X37-W36))&gt;=500),0,IF((W37-W36)*(X37-W36)&gt;0,1,0)))</f>
        <v/>
      </c>
      <c r="AD37" s="6" t="n">
        <v>44116.67</v>
      </c>
      <c r="AE37" s="7" t="n">
        <v>44692.04</v>
      </c>
      <c r="AF37">
        <f>ABS(AD37-AE37)</f>
        <v/>
      </c>
      <c r="AG37" s="8">
        <f>IF(AD37=0,"-",1-ABS(AD37-AE37)/AD37)</f>
        <v/>
      </c>
      <c r="AH37">
        <f>IF((AE37-AD36)&gt;=500,IF(ABS((AD37-AD36))&lt;500,"",IF((AD37-AD36)&lt;0,-ABS((AD37-AD36)/(AE37-AD36)),MIN(1,ABS((AD37-AD36)/(AE37-AD36))))),IF((AE37-AD36)&lt;=-500,IF(ABS((AD37-AD36))&lt;500,"",IF((AD37-AD36)&gt;0,-ABS((AD37-AD36)/(AE37-AD36)),MIN(1,ABS((AD37-AD36)/(AE37-AD36))))),IF(ABS((AD37-AD36))&lt;500,1,MIN(1,500/ABS((AD37-AD36))))))</f>
        <v/>
      </c>
      <c r="AI37">
        <f>IF(AND(ABS((AD37-AD36))&lt;500,ABS((AE37-AD36))&lt;500),1,IF(AND(ABS((AD37-AD36))&lt;500,ABS((AE37-AD36))&gt;=500),0,IF((AD37-AD36)*(AE37-AD36)&gt;0,1,0)))</f>
        <v/>
      </c>
      <c r="AK37" s="6" t="n">
        <v>48500</v>
      </c>
      <c r="AL37" s="7" t="n">
        <v>48485.41</v>
      </c>
      <c r="AM37">
        <f>ABS(AK37-AL37)</f>
        <v/>
      </c>
      <c r="AN37" s="8">
        <f>IF(AK37=0,"-",1-ABS(AK37-AL37)/AK37)</f>
        <v/>
      </c>
      <c r="AO37">
        <f>IF((AL37-AK36)&gt;=500,IF(ABS((AK37-AK36))&lt;500,"",IF((AK37-AK36)&lt;0,-ABS((AK37-AK36)/(AL37-AK36)),MIN(1,ABS((AK37-AK36)/(AL37-AK36))))),IF((AL37-AK36)&lt;=-500,IF(ABS((AK37-AK36))&lt;500,"",IF((AK37-AK36)&gt;0,-ABS((AK37-AK36)/(AL37-AK36)),MIN(1,ABS((AK37-AK36)/(AL37-AK36))))),IF(ABS((AK37-AK36))&lt;500,1,MIN(1,500/ABS((AK37-AK36))))))</f>
        <v/>
      </c>
      <c r="AP37">
        <f>IF(AND(ABS((AK37-AK36))&lt;500,ABS((AL37-AK36))&lt;500),1,IF(AND(ABS((AK37-AK36))&lt;500,ABS((AL37-AK36))&gt;=500),0,IF((AK37-AK36)*(AL37-AK36)&gt;0,1,0)))</f>
        <v/>
      </c>
    </row>
    <row r="38">
      <c r="A38" s="5" t="n">
        <v>45802</v>
      </c>
      <c r="B38" s="6" t="n">
        <v>52800</v>
      </c>
      <c r="C38" s="7" t="n">
        <v>53632.28</v>
      </c>
      <c r="D38">
        <f>ABS(B38-C38)</f>
        <v/>
      </c>
      <c r="E38" s="8">
        <f>IF(B38=0,"-",1-ABS(B38-C38)/B38)</f>
        <v/>
      </c>
      <c r="F38">
        <f>IF((C38-B37)&gt;=500,IF(ABS((B38-B37))&lt;500,"",IF((B38-B37)&lt;0,-ABS((B38-B37)/(C38-B37)),MIN(1,ABS((B38-B37)/(C38-B37))))),IF((C38-B37)&lt;=-500,IF(ABS((B38-B37))&lt;500,"",IF((B38-B37)&gt;0,-ABS((B38-B37)/(C38-B37)),MIN(1,ABS((B38-B37)/(C38-B37))))),IF(ABS((B38-B37))&lt;500,1,MIN(1,500/ABS((B38-B37))))))</f>
        <v/>
      </c>
      <c r="G38">
        <f>IF(AND(ABS((B38-B37))&lt;500,ABS((C38-B37))&lt;500),1,IF(AND(ABS((B38-B37))&lt;500,ABS((C38-B37))&gt;=500),0,IF((B38-B37)*(C38-B37)&gt;0,1,0)))</f>
        <v/>
      </c>
      <c r="I38" s="6" t="n">
        <v>51850</v>
      </c>
      <c r="J38" s="7" t="n">
        <v>51695.69</v>
      </c>
      <c r="K38">
        <f>ABS(I38-J38)</f>
        <v/>
      </c>
      <c r="L38" s="8">
        <f>IF(I38=0,"-",1-ABS(I38-J38)/I38)</f>
        <v/>
      </c>
      <c r="M38">
        <f>IF((J38-I37)&gt;=500,IF(ABS((I38-I37))&lt;500,"",IF((I38-I37)&lt;0,-ABS((I38-I37)/(J38-I37)),MIN(1,ABS((I38-I37)/(J38-I37))))),IF((J38-I37)&lt;=-500,IF(ABS((I38-I37))&lt;500,"",IF((I38-I37)&gt;0,-ABS((I38-I37)/(J38-I37)),MIN(1,ABS((I38-I37)/(J38-I37))))),IF(ABS((I38-I37))&lt;500,1,MIN(1,500/ABS((I38-I37))))))</f>
        <v/>
      </c>
      <c r="N38">
        <f>IF(AND(ABS((I38-I37))&lt;500,ABS((J38-I37))&lt;500),1,IF(AND(ABS((I38-I37))&lt;500,ABS((J38-I37))&gt;=500),0,IF((I38-I37)*(J38-I37)&gt;0,1,0)))</f>
        <v/>
      </c>
      <c r="P38" s="6" t="n">
        <v>55500</v>
      </c>
      <c r="Q38" s="7" t="n">
        <v>55819.125</v>
      </c>
      <c r="R38">
        <f>ABS(P38-Q38)</f>
        <v/>
      </c>
      <c r="S38" s="8">
        <f>IF(P38=0,"-",1-ABS(P38-Q38)/P38)</f>
        <v/>
      </c>
      <c r="T38">
        <f>IF((Q38-P37)&gt;=500,IF(ABS((P38-P37))&lt;500,"",IF((P38-P37)&lt;0,-ABS((P38-P37)/(Q38-P37)),MIN(1,ABS((P38-P37)/(Q38-P37))))),IF((Q38-P37)&lt;=-500,IF(ABS((P38-P37))&lt;500,"",IF((P38-P37)&gt;0,-ABS((P38-P37)/(Q38-P37)),MIN(1,ABS((P38-P37)/(Q38-P37))))),IF(ABS((P38-P37))&lt;500,1,MIN(1,500/ABS((P38-P37))))))</f>
        <v/>
      </c>
      <c r="U38">
        <f>IF(AND(ABS((P38-P37))&lt;500,ABS((Q38-P37))&lt;500),1,IF(AND(ABS((P38-P37))&lt;500,ABS((Q38-P37))&gt;=500),0,IF((P38-P37)*(Q38-P37)&gt;0,1,0)))</f>
        <v/>
      </c>
      <c r="W38" s="6" t="n">
        <v>47933.33</v>
      </c>
      <c r="X38" s="7" t="n">
        <v>48044.92</v>
      </c>
      <c r="Y38">
        <f>ABS(W38-X38)</f>
        <v/>
      </c>
      <c r="Z38" s="8">
        <f>IF(W38=0,"-",1-ABS(W38-X38)/W38)</f>
        <v/>
      </c>
      <c r="AA38">
        <f>IF((X38-W37)&gt;=500,IF(ABS((W38-W37))&lt;500,"",IF((W38-W37)&lt;0,-ABS((W38-W37)/(X38-W37)),MIN(1,ABS((W38-W37)/(X38-W37))))),IF((X38-W37)&lt;=-500,IF(ABS((W38-W37))&lt;500,"",IF((W38-W37)&gt;0,-ABS((W38-W37)/(X38-W37)),MIN(1,ABS((W38-W37)/(X38-W37))))),IF(ABS((W38-W37))&lt;500,1,MIN(1,500/ABS((W38-W37))))))</f>
        <v/>
      </c>
      <c r="AB38">
        <f>IF(AND(ABS((W38-W37))&lt;500,ABS((X38-W37))&lt;500),1,IF(AND(ABS((W38-W37))&lt;500,ABS((X38-W37))&gt;=500),0,IF((W38-W37)*(X38-W37)&gt;0,1,0)))</f>
        <v/>
      </c>
      <c r="AD38" s="6" t="n">
        <v>43716.67</v>
      </c>
      <c r="AE38" s="7" t="n">
        <v>44115.188</v>
      </c>
      <c r="AF38">
        <f>ABS(AD38-AE38)</f>
        <v/>
      </c>
      <c r="AG38" s="8">
        <f>IF(AD38=0,"-",1-ABS(AD38-AE38)/AD38)</f>
        <v/>
      </c>
      <c r="AH38">
        <f>IF((AE38-AD37)&gt;=500,IF(ABS((AD38-AD37))&lt;500,"",IF((AD38-AD37)&lt;0,-ABS((AD38-AD37)/(AE38-AD37)),MIN(1,ABS((AD38-AD37)/(AE38-AD37))))),IF((AE38-AD37)&lt;=-500,IF(ABS((AD38-AD37))&lt;500,"",IF((AD38-AD37)&gt;0,-ABS((AD38-AD37)/(AE38-AD37)),MIN(1,ABS((AD38-AD37)/(AE38-AD37))))),IF(ABS((AD38-AD37))&lt;500,1,MIN(1,500/ABS((AD38-AD37))))))</f>
        <v/>
      </c>
      <c r="AI38">
        <f>IF(AND(ABS((AD38-AD37))&lt;500,ABS((AE38-AD37))&lt;500),1,IF(AND(ABS((AD38-AD37))&lt;500,ABS((AE38-AD37))&gt;=500),0,IF((AD38-AD37)*(AE38-AD37)&gt;0,1,0)))</f>
        <v/>
      </c>
      <c r="AK38" s="6" t="n">
        <v>48100</v>
      </c>
      <c r="AL38" s="7" t="n">
        <v>48473.79</v>
      </c>
      <c r="AM38">
        <f>ABS(AK38-AL38)</f>
        <v/>
      </c>
      <c r="AN38" s="8">
        <f>IF(AK38=0,"-",1-ABS(AK38-AL38)/AK38)</f>
        <v/>
      </c>
      <c r="AO38">
        <f>IF((AL38-AK37)&gt;=500,IF(ABS((AK38-AK37))&lt;500,"",IF((AK38-AK37)&lt;0,-ABS((AK38-AK37)/(AL38-AK37)),MIN(1,ABS((AK38-AK37)/(AL38-AK37))))),IF((AL38-AK37)&lt;=-500,IF(ABS((AK38-AK37))&lt;500,"",IF((AK38-AK37)&gt;0,-ABS((AK38-AK37)/(AL38-AK37)),MIN(1,ABS((AK38-AK37)/(AL38-AK37))))),IF(ABS((AK38-AK37))&lt;500,1,MIN(1,500/ABS((AK38-AK37))))))</f>
        <v/>
      </c>
      <c r="AP38">
        <f>IF(AND(ABS((AK38-AK37))&lt;500,ABS((AL38-AK37))&lt;500),1,IF(AND(ABS((AK38-AK37))&lt;500,ABS((AL38-AK37))&gt;=500),0,IF((AK38-AK37)*(AL38-AK37)&gt;0,1,0)))</f>
        <v/>
      </c>
    </row>
    <row r="39">
      <c r="A39" s="5" t="n">
        <v>45809</v>
      </c>
      <c r="B39" s="6" t="n">
        <v>52000</v>
      </c>
      <c r="C39" s="7" t="n">
        <v>53181.84</v>
      </c>
      <c r="D39">
        <f>ABS(B39-C39)</f>
        <v/>
      </c>
      <c r="E39" s="8">
        <f>IF(B39=0,"-",1-ABS(B39-C39)/B39)</f>
        <v/>
      </c>
      <c r="F39">
        <f>IF((C39-B38)&gt;=500,IF(ABS((B39-B38))&lt;500,"",IF((B39-B38)&lt;0,-ABS((B39-B38)/(C39-B38)),MIN(1,ABS((B39-B38)/(C39-B38))))),IF((C39-B38)&lt;=-500,IF(ABS((B39-B38))&lt;500,"",IF((B39-B38)&gt;0,-ABS((B39-B38)/(C39-B38)),MIN(1,ABS((B39-B38)/(C39-B38))))),IF(ABS((B39-B38))&lt;500,1,MIN(1,500/ABS((B39-B38))))))</f>
        <v/>
      </c>
      <c r="G39">
        <f>IF(AND(ABS((B39-B38))&lt;500,ABS((C39-B38))&lt;500),1,IF(AND(ABS((B39-B38))&lt;500,ABS((C39-B38))&gt;=500),0,IF((B39-B38)*(C39-B38)&gt;0,1,0)))</f>
        <v/>
      </c>
      <c r="I39" s="6" t="n">
        <v>51450</v>
      </c>
      <c r="J39" s="7" t="n">
        <v>51781.707</v>
      </c>
      <c r="K39">
        <f>ABS(I39-J39)</f>
        <v/>
      </c>
      <c r="L39" s="8">
        <f>IF(I39=0,"-",1-ABS(I39-J39)/I39)</f>
        <v/>
      </c>
      <c r="M39">
        <f>IF((J39-I38)&gt;=500,IF(ABS((I39-I38))&lt;500,"",IF((I39-I38)&lt;0,-ABS((I39-I38)/(J39-I38)),MIN(1,ABS((I39-I38)/(J39-I38))))),IF((J39-I38)&lt;=-500,IF(ABS((I39-I38))&lt;500,"",IF((I39-I38)&gt;0,-ABS((I39-I38)/(J39-I38)),MIN(1,ABS((I39-I38)/(J39-I38))))),IF(ABS((I39-I38))&lt;500,1,MIN(1,500/ABS((I39-I38))))))</f>
        <v/>
      </c>
      <c r="N39">
        <f>IF(AND(ABS((I39-I38))&lt;500,ABS((J39-I38))&lt;500),1,IF(AND(ABS((I39-I38))&lt;500,ABS((J39-I38))&gt;=500),0,IF((I39-I38)*(J39-I38)&gt;0,1,0)))</f>
        <v/>
      </c>
      <c r="P39" s="6" t="n">
        <v>54300</v>
      </c>
      <c r="Q39" s="7" t="n">
        <v>55249.984</v>
      </c>
      <c r="R39">
        <f>ABS(P39-Q39)</f>
        <v/>
      </c>
      <c r="S39" s="8">
        <f>IF(P39=0,"-",1-ABS(P39-Q39)/P39)</f>
        <v/>
      </c>
      <c r="T39">
        <f>IF((Q39-P38)&gt;=500,IF(ABS((P39-P38))&lt;500,"",IF((P39-P38)&lt;0,-ABS((P39-P38)/(Q39-P38)),MIN(1,ABS((P39-P38)/(Q39-P38))))),IF((Q39-P38)&lt;=-500,IF(ABS((P39-P38))&lt;500,"",IF((P39-P38)&gt;0,-ABS((P39-P38)/(Q39-P38)),MIN(1,ABS((P39-P38)/(Q39-P38))))),IF(ABS((P39-P38))&lt;500,1,MIN(1,500/ABS((P39-P38))))))</f>
        <v/>
      </c>
      <c r="U39">
        <f>IF(AND(ABS((P39-P38))&lt;500,ABS((Q39-P38))&lt;500),1,IF(AND(ABS((P39-P38))&lt;500,ABS((Q39-P38))&gt;=500),0,IF((P39-P38)*(Q39-P38)&gt;0,1,0)))</f>
        <v/>
      </c>
      <c r="W39" s="6" t="n">
        <v>47666.67</v>
      </c>
      <c r="X39" s="7" t="n">
        <v>47687.664</v>
      </c>
      <c r="Y39">
        <f>ABS(W39-X39)</f>
        <v/>
      </c>
      <c r="Z39" s="8">
        <f>IF(W39=0,"-",1-ABS(W39-X39)/W39)</f>
        <v/>
      </c>
      <c r="AA39">
        <f>IF((X39-W38)&gt;=500,IF(ABS((W39-W38))&lt;500,"",IF((W39-W38)&lt;0,-ABS((W39-W38)/(X39-W38)),MIN(1,ABS((W39-W38)/(X39-W38))))),IF((X39-W38)&lt;=-500,IF(ABS((W39-W38))&lt;500,"",IF((W39-W38)&gt;0,-ABS((W39-W38)/(X39-W38)),MIN(1,ABS((W39-W38)/(X39-W38))))),IF(ABS((W39-W38))&lt;500,1,MIN(1,500/ABS((W39-W38))))))</f>
        <v/>
      </c>
      <c r="AB39">
        <f>IF(AND(ABS((W39-W38))&lt;500,ABS((X39-W38))&lt;500),1,IF(AND(ABS((W39-W38))&lt;500,ABS((X39-W38))&gt;=500),0,IF((W39-W38)*(X39-W38)&gt;0,1,0)))</f>
        <v/>
      </c>
      <c r="AD39" s="6" t="n">
        <v>43400</v>
      </c>
      <c r="AE39" s="7" t="n">
        <v>43641.69</v>
      </c>
      <c r="AF39">
        <f>ABS(AD39-AE39)</f>
        <v/>
      </c>
      <c r="AG39" s="8">
        <f>IF(AD39=0,"-",1-ABS(AD39-AE39)/AD39)</f>
        <v/>
      </c>
      <c r="AH39">
        <f>IF((AE39-AD38)&gt;=500,IF(ABS((AD39-AD38))&lt;500,"",IF((AD39-AD38)&lt;0,-ABS((AD39-AD38)/(AE39-AD38)),MIN(1,ABS((AD39-AD38)/(AE39-AD38))))),IF((AE39-AD38)&lt;=-500,IF(ABS((AD39-AD38))&lt;500,"",IF((AD39-AD38)&gt;0,-ABS((AD39-AD38)/(AE39-AD38)),MIN(1,ABS((AD39-AD38)/(AE39-AD38))))),IF(ABS((AD39-AD38))&lt;500,1,MIN(1,500/ABS((AD39-AD38))))))</f>
        <v/>
      </c>
      <c r="AI39">
        <f>IF(AND(ABS((AD39-AD38))&lt;500,ABS((AE39-AD38))&lt;500),1,IF(AND(ABS((AD39-AD38))&lt;500,ABS((AE39-AD38))&gt;=500),0,IF((AD39-AD38)*(AE39-AD38)&gt;0,1,0)))</f>
        <v/>
      </c>
      <c r="AK39" s="6" t="n">
        <v>47533.33</v>
      </c>
      <c r="AL39" s="7" t="n">
        <v>47957.04</v>
      </c>
      <c r="AM39">
        <f>ABS(AK39-AL39)</f>
        <v/>
      </c>
      <c r="AN39" s="8">
        <f>IF(AK39=0,"-",1-ABS(AK39-AL39)/AK39)</f>
        <v/>
      </c>
      <c r="AO39">
        <f>IF((AL39-AK38)&gt;=500,IF(ABS((AK39-AK38))&lt;500,"",IF((AK39-AK38)&lt;0,-ABS((AK39-AK38)/(AL39-AK38)),MIN(1,ABS((AK39-AK38)/(AL39-AK38))))),IF((AL39-AK38)&lt;=-500,IF(ABS((AK39-AK38))&lt;500,"",IF((AK39-AK38)&gt;0,-ABS((AK39-AK38)/(AL39-AK38)),MIN(1,ABS((AK39-AK38)/(AL39-AK38))))),IF(ABS((AK39-AK38))&lt;500,1,MIN(1,500/ABS((AK39-AK38))))))</f>
        <v/>
      </c>
      <c r="AP39">
        <f>IF(AND(ABS((AK39-AK38))&lt;500,ABS((AL39-AK38))&lt;500),1,IF(AND(ABS((AK39-AK38))&lt;500,ABS((AL39-AK38))&gt;=500),0,IF((AK39-AK38)*(AL39-AK38)&gt;0,1,0)))</f>
        <v/>
      </c>
    </row>
    <row r="40">
      <c r="A40" s="5" t="n">
        <v>45816</v>
      </c>
      <c r="B40" s="6" t="n">
        <v>52000</v>
      </c>
      <c r="C40" s="7" t="n">
        <v>52478.74</v>
      </c>
      <c r="D40">
        <f>ABS(B40-C40)</f>
        <v/>
      </c>
      <c r="E40" s="8">
        <f>IF(B40=0,"-",1-ABS(B40-C40)/B40)</f>
        <v/>
      </c>
      <c r="F40">
        <f>IF((C40-B39)&gt;=500,IF(ABS((B40-B39))&lt;500,"",IF((B40-B39)&lt;0,-ABS((B40-B39)/(C40-B39)),MIN(1,ABS((B40-B39)/(C40-B39))))),IF((C40-B39)&lt;=-500,IF(ABS((B40-B39))&lt;500,"",IF((B40-B39)&gt;0,-ABS((B40-B39)/(C40-B39)),MIN(1,ABS((B40-B39)/(C40-B39))))),IF(ABS((B40-B39))&lt;500,1,MIN(1,500/ABS((B40-B39))))))</f>
        <v/>
      </c>
      <c r="G40">
        <f>IF(AND(ABS((B40-B39))&lt;500,ABS((C40-B39))&lt;500),1,IF(AND(ABS((B40-B39))&lt;500,ABS((C40-B39))&gt;=500),0,IF((B40-B39)*(C40-B39)&gt;0,1,0)))</f>
        <v/>
      </c>
      <c r="H40" s="9">
        <f>COUNTIF(G40:G51,1)&amp;"/"&amp;COUNT(G40:G51)</f>
        <v/>
      </c>
      <c r="I40" s="6" t="n">
        <v>51400</v>
      </c>
      <c r="J40" s="7" t="n">
        <v>51249.156</v>
      </c>
      <c r="K40">
        <f>ABS(I40-J40)</f>
        <v/>
      </c>
      <c r="L40" s="8">
        <f>IF(I40=0,"-",1-ABS(I40-J40)/I40)</f>
        <v/>
      </c>
      <c r="M40">
        <f>IF((J40-I39)&gt;=500,IF(ABS((I40-I39))&lt;500,"",IF((I40-I39)&lt;0,-ABS((I40-I39)/(J40-I39)),MIN(1,ABS((I40-I39)/(J40-I39))))),IF((J40-I39)&lt;=-500,IF(ABS((I40-I39))&lt;500,"",IF((I40-I39)&gt;0,-ABS((I40-I39)/(J40-I39)),MIN(1,ABS((I40-I39)/(J40-I39))))),IF(ABS((I40-I39))&lt;500,1,MIN(1,500/ABS((I40-I39))))))</f>
        <v/>
      </c>
      <c r="N40">
        <f>IF(AND(ABS((I40-I39))&lt;500,ABS((J40-I39))&lt;500),1,IF(AND(ABS((I40-I39))&lt;500,ABS((J40-I39))&gt;=500),0,IF((I40-I39)*(J40-I39)&gt;0,1,0)))</f>
        <v/>
      </c>
      <c r="O40" s="9">
        <f>COUNTIF(N40:N51,1)&amp;"/"&amp;COUNT(N40:N51)</f>
        <v/>
      </c>
      <c r="P40" s="6" t="n">
        <v>53200</v>
      </c>
      <c r="Q40" s="7" t="n">
        <v>54143.383</v>
      </c>
      <c r="R40">
        <f>ABS(P40-Q40)</f>
        <v/>
      </c>
      <c r="S40" s="8">
        <f>IF(P40=0,"-",1-ABS(P40-Q40)/P40)</f>
        <v/>
      </c>
      <c r="T40">
        <f>IF((Q40-P39)&gt;=500,IF(ABS((P40-P39))&lt;500,"",IF((P40-P39)&lt;0,-ABS((P40-P39)/(Q40-P39)),MIN(1,ABS((P40-P39)/(Q40-P39))))),IF((Q40-P39)&lt;=-500,IF(ABS((P40-P39))&lt;500,"",IF((P40-P39)&gt;0,-ABS((P40-P39)/(Q40-P39)),MIN(1,ABS((P40-P39)/(Q40-P39))))),IF(ABS((P40-P39))&lt;500,1,MIN(1,500/ABS((P40-P39))))))</f>
        <v/>
      </c>
      <c r="U40">
        <f>IF(AND(ABS((P40-P39))&lt;500,ABS((Q40-P39))&lt;500),1,IF(AND(ABS((P40-P39))&lt;500,ABS((Q40-P39))&gt;=500),0,IF((P40-P39)*(Q40-P39)&gt;0,1,0)))</f>
        <v/>
      </c>
      <c r="V40" s="9">
        <f>COUNTIF(U40:U51,1)&amp;"/"&amp;COUNT(U40:U51)</f>
        <v/>
      </c>
      <c r="W40" s="6" t="n">
        <v>46733.33</v>
      </c>
      <c r="X40" s="7" t="n">
        <v>47527.883</v>
      </c>
      <c r="Y40">
        <f>ABS(W40-X40)</f>
        <v/>
      </c>
      <c r="Z40" s="8">
        <f>IF(W40=0,"-",1-ABS(W40-X40)/W40)</f>
        <v/>
      </c>
      <c r="AA40">
        <f>IF((X40-W39)&gt;=500,IF(ABS((W40-W39))&lt;500,"",IF((W40-W39)&lt;0,-ABS((W40-W39)/(X40-W39)),MIN(1,ABS((W40-W39)/(X40-W39))))),IF((X40-W39)&lt;=-500,IF(ABS((W40-W39))&lt;500,"",IF((W40-W39)&gt;0,-ABS((W40-W39)/(X40-W39)),MIN(1,ABS((W40-W39)/(X40-W39))))),IF(ABS((W40-W39))&lt;500,1,MIN(1,500/ABS((W40-W39))))))</f>
        <v/>
      </c>
      <c r="AB40">
        <f>IF(AND(ABS((W40-W39))&lt;500,ABS((X40-W39))&lt;500),1,IF(AND(ABS((W40-W39))&lt;500,ABS((X40-W39))&gt;=500),0,IF((W40-W39)*(X40-W39)&gt;0,1,0)))</f>
        <v/>
      </c>
      <c r="AC40" s="9">
        <f>COUNTIF(AB40:AB51,1)&amp;"/"&amp;COUNT(AB40:AB51)</f>
        <v/>
      </c>
      <c r="AD40" s="6" t="n">
        <v>42683.33</v>
      </c>
      <c r="AE40" s="7" t="n">
        <v>43199.83</v>
      </c>
      <c r="AF40">
        <f>ABS(AD40-AE40)</f>
        <v/>
      </c>
      <c r="AG40" s="8">
        <f>IF(AD40=0,"-",1-ABS(AD40-AE40)/AD40)</f>
        <v/>
      </c>
      <c r="AH40">
        <f>IF((AE40-AD39)&gt;=500,IF(ABS((AD40-AD39))&lt;500,"",IF((AD40-AD39)&lt;0,-ABS((AD40-AD39)/(AE40-AD39)),MIN(1,ABS((AD40-AD39)/(AE40-AD39))))),IF((AE40-AD39)&lt;=-500,IF(ABS((AD40-AD39))&lt;500,"",IF((AD40-AD39)&gt;0,-ABS((AD40-AD39)/(AE40-AD39)),MIN(1,ABS((AD40-AD39)/(AE40-AD39))))),IF(ABS((AD40-AD39))&lt;500,1,MIN(1,500/ABS((AD40-AD39))))))</f>
        <v/>
      </c>
      <c r="AI40">
        <f>IF(AND(ABS((AD40-AD39))&lt;500,ABS((AE40-AD39))&lt;500),1,IF(AND(ABS((AD40-AD39))&lt;500,ABS((AE40-AD39))&gt;=500),0,IF((AD40-AD39)*(AE40-AD39)&gt;0,1,0)))</f>
        <v/>
      </c>
      <c r="AJ40" s="9">
        <f>COUNTIF(AI40:AI51,1)&amp;"/"&amp;COUNT(AI40:AI51)</f>
        <v/>
      </c>
      <c r="AK40" s="6" t="n">
        <v>47100</v>
      </c>
      <c r="AL40" s="7" t="n">
        <v>47370.16</v>
      </c>
      <c r="AM40">
        <f>ABS(AK40-AL40)</f>
        <v/>
      </c>
      <c r="AN40" s="8">
        <f>IF(AK40=0,"-",1-ABS(AK40-AL40)/AK40)</f>
        <v/>
      </c>
      <c r="AO40">
        <f>IF((AL40-AK39)&gt;=500,IF(ABS((AK40-AK39))&lt;500,"",IF((AK40-AK39)&lt;0,-ABS((AK40-AK39)/(AL40-AK39)),MIN(1,ABS((AK40-AK39)/(AL40-AK39))))),IF((AL40-AK39)&lt;=-500,IF(ABS((AK40-AK39))&lt;500,"",IF((AK40-AK39)&gt;0,-ABS((AK40-AK39)/(AL40-AK39)),MIN(1,ABS((AK40-AK39)/(AL40-AK39))))),IF(ABS((AK40-AK39))&lt;500,1,MIN(1,500/ABS((AK40-AK39))))))</f>
        <v/>
      </c>
      <c r="AP40">
        <f>IF(AND(ABS((AK40-AK39))&lt;500,ABS((AL40-AK39))&lt;500),1,IF(AND(ABS((AK40-AK39))&lt;500,ABS((AL40-AK39))&gt;=500),0,IF((AK40-AK39)*(AL40-AK39)&gt;0,1,0)))</f>
        <v/>
      </c>
      <c r="AQ40" s="9">
        <f>COUNTIF(AP40:AP51,1)&amp;"/"&amp;COUNT(AP40:AP51)</f>
        <v/>
      </c>
    </row>
    <row r="41">
      <c r="A41" s="5" t="n">
        <v>45823</v>
      </c>
      <c r="B41" s="6" t="n">
        <v>52000</v>
      </c>
      <c r="C41" s="7" t="n">
        <v>52331.188</v>
      </c>
      <c r="D41">
        <f>ABS(B41-C41)</f>
        <v/>
      </c>
      <c r="E41" s="8">
        <f>IF(B41=0,"-",1-ABS(B41-C41)/B41)</f>
        <v/>
      </c>
      <c r="F41">
        <f>IF((C41-B40)&gt;=500,IF(ABS((B41-B40))&lt;500,"",IF((B41-B40)&lt;0,-ABS((B41-B40)/(C41-B40)),MIN(1,ABS((B41-B40)/(C41-B40))))),IF((C41-B40)&lt;=-500,IF(ABS((B41-B40))&lt;500,"",IF((B41-B40)&gt;0,-ABS((B41-B40)/(C41-B40)),MIN(1,ABS((B41-B40)/(C41-B40))))),IF(ABS((B41-B40))&lt;500,1,MIN(1,500/ABS((B41-B40))))))</f>
        <v/>
      </c>
      <c r="G41">
        <f>IF(AND(ABS((B41-B40))&lt;500,ABS((C41-B40))&lt;500),1,IF(AND(ABS((B41-B40))&lt;500,ABS((C41-B40))&gt;=500),0,IF((B41-B40)*(C41-B40)&gt;0,1,0)))</f>
        <v/>
      </c>
      <c r="I41" s="6" t="n">
        <v>51200</v>
      </c>
      <c r="J41" s="7" t="n">
        <v>51258.242</v>
      </c>
      <c r="K41">
        <f>ABS(I41-J41)</f>
        <v/>
      </c>
      <c r="L41" s="8">
        <f>IF(I41=0,"-",1-ABS(I41-J41)/I41)</f>
        <v/>
      </c>
      <c r="M41">
        <f>IF((J41-I40)&gt;=500,IF(ABS((I41-I40))&lt;500,"",IF((I41-I40)&lt;0,-ABS((I41-I40)/(J41-I40)),MIN(1,ABS((I41-I40)/(J41-I40))))),IF((J41-I40)&lt;=-500,IF(ABS((I41-I40))&lt;500,"",IF((I41-I40)&gt;0,-ABS((I41-I40)/(J41-I40)),MIN(1,ABS((I41-I40)/(J41-I40))))),IF(ABS((I41-I40))&lt;500,1,MIN(1,500/ABS((I41-I40))))))</f>
        <v/>
      </c>
      <c r="N41">
        <f>IF(AND(ABS((I41-I40))&lt;500,ABS((J41-I40))&lt;500),1,IF(AND(ABS((I41-I40))&lt;500,ABS((J41-I40))&gt;=500),0,IF((I41-I40)*(J41-I40)&gt;0,1,0)))</f>
        <v/>
      </c>
      <c r="P41" s="6" t="n">
        <v>51900</v>
      </c>
      <c r="Q41" s="7" t="n">
        <v>52942.387</v>
      </c>
      <c r="R41">
        <f>ABS(P41-Q41)</f>
        <v/>
      </c>
      <c r="S41" s="8">
        <f>IF(P41=0,"-",1-ABS(P41-Q41)/P41)</f>
        <v/>
      </c>
      <c r="T41">
        <f>IF((Q41-P40)&gt;=500,IF(ABS((P41-P40))&lt;500,"",IF((P41-P40)&lt;0,-ABS((P41-P40)/(Q41-P40)),MIN(1,ABS((P41-P40)/(Q41-P40))))),IF((Q41-P40)&lt;=-500,IF(ABS((P41-P40))&lt;500,"",IF((P41-P40)&gt;0,-ABS((P41-P40)/(Q41-P40)),MIN(1,ABS((P41-P40)/(Q41-P40))))),IF(ABS((P41-P40))&lt;500,1,MIN(1,500/ABS((P41-P40))))))</f>
        <v/>
      </c>
      <c r="U41">
        <f>IF(AND(ABS((P41-P40))&lt;500,ABS((Q41-P40))&lt;500),1,IF(AND(ABS((P41-P40))&lt;500,ABS((Q41-P40))&gt;=500),0,IF((P41-P40)*(Q41-P40)&gt;0,1,0)))</f>
        <v/>
      </c>
      <c r="W41" s="6" t="n">
        <v>46133.33</v>
      </c>
      <c r="X41" s="7" t="n">
        <v>46627.766</v>
      </c>
      <c r="Y41">
        <f>ABS(W41-X41)</f>
        <v/>
      </c>
      <c r="Z41" s="8">
        <f>IF(W41=0,"-",1-ABS(W41-X41)/W41)</f>
        <v/>
      </c>
      <c r="AA41">
        <f>IF((X41-W40)&gt;=500,IF(ABS((W41-W40))&lt;500,"",IF((W41-W40)&lt;0,-ABS((W41-W40)/(X41-W40)),MIN(1,ABS((W41-W40)/(X41-W40))))),IF((X41-W40)&lt;=-500,IF(ABS((W41-W40))&lt;500,"",IF((W41-W40)&gt;0,-ABS((W41-W40)/(X41-W40)),MIN(1,ABS((W41-W40)/(X41-W40))))),IF(ABS((W41-W40))&lt;500,1,MIN(1,500/ABS((W41-W40))))))</f>
        <v/>
      </c>
      <c r="AB41">
        <f>IF(AND(ABS((W41-W40))&lt;500,ABS((X41-W40))&lt;500),1,IF(AND(ABS((W41-W40))&lt;500,ABS((X41-W40))&gt;=500),0,IF((W41-W40)*(X41-W40)&gt;0,1,0)))</f>
        <v/>
      </c>
      <c r="AD41" s="6" t="n">
        <v>42050</v>
      </c>
      <c r="AE41" s="7" t="n">
        <v>42653.074</v>
      </c>
      <c r="AF41">
        <f>ABS(AD41-AE41)</f>
        <v/>
      </c>
      <c r="AG41" s="8">
        <f>IF(AD41=0,"-",1-ABS(AD41-AE41)/AD41)</f>
        <v/>
      </c>
      <c r="AH41">
        <f>IF((AE41-AD40)&gt;=500,IF(ABS((AD41-AD40))&lt;500,"",IF((AD41-AD40)&lt;0,-ABS((AD41-AD40)/(AE41-AD40)),MIN(1,ABS((AD41-AD40)/(AE41-AD40))))),IF((AE41-AD40)&lt;=-500,IF(ABS((AD41-AD40))&lt;500,"",IF((AD41-AD40)&gt;0,-ABS((AD41-AD40)/(AE41-AD40)),MIN(1,ABS((AD41-AD40)/(AE41-AD40))))),IF(ABS((AD41-AD40))&lt;500,1,MIN(1,500/ABS((AD41-AD40))))))</f>
        <v/>
      </c>
      <c r="AI41">
        <f>IF(AND(ABS((AD41-AD40))&lt;500,ABS((AE41-AD40))&lt;500),1,IF(AND(ABS((AD41-AD40))&lt;500,ABS((AE41-AD40))&gt;=500),0,IF((AD41-AD40)*(AE41-AD40)&gt;0,1,0)))</f>
        <v/>
      </c>
      <c r="AK41" s="6" t="n">
        <v>46300</v>
      </c>
      <c r="AL41" s="7" t="n">
        <v>47101.72</v>
      </c>
      <c r="AM41">
        <f>ABS(AK41-AL41)</f>
        <v/>
      </c>
      <c r="AN41" s="8">
        <f>IF(AK41=0,"-",1-ABS(AK41-AL41)/AK41)</f>
        <v/>
      </c>
      <c r="AO41">
        <f>IF((AL41-AK40)&gt;=500,IF(ABS((AK41-AK40))&lt;500,"",IF((AK41-AK40)&lt;0,-ABS((AK41-AK40)/(AL41-AK40)),MIN(1,ABS((AK41-AK40)/(AL41-AK40))))),IF((AL41-AK40)&lt;=-500,IF(ABS((AK41-AK40))&lt;500,"",IF((AK41-AK40)&gt;0,-ABS((AK41-AK40)/(AL41-AK40)),MIN(1,ABS((AK41-AK40)/(AL41-AK40))))),IF(ABS((AK41-AK40))&lt;500,1,MIN(1,500/ABS((AK41-AK40))))))</f>
        <v/>
      </c>
      <c r="AP41">
        <f>IF(AND(ABS((AK41-AK40))&lt;500,ABS((AL41-AK40))&lt;500),1,IF(AND(ABS((AK41-AK40))&lt;500,ABS((AL41-AK40))&gt;=500),0,IF((AK41-AK40)*(AL41-AK40)&gt;0,1,0)))</f>
        <v/>
      </c>
    </row>
    <row r="42">
      <c r="A42" s="5" t="n">
        <v>45830</v>
      </c>
      <c r="B42" s="6" t="n">
        <v>52000</v>
      </c>
      <c r="C42" s="7" t="n">
        <v>52167.03</v>
      </c>
      <c r="D42">
        <f>ABS(B42-C42)</f>
        <v/>
      </c>
      <c r="E42" s="8">
        <f>IF(B42=0,"-",1-ABS(B42-C42)/B42)</f>
        <v/>
      </c>
      <c r="F42">
        <f>IF((C42-B41)&gt;=500,IF(ABS((B42-B41))&lt;500,"",IF((B42-B41)&lt;0,-ABS((B42-B41)/(C42-B41)),MIN(1,ABS((B42-B41)/(C42-B41))))),IF((C42-B41)&lt;=-500,IF(ABS((B42-B41))&lt;500,"",IF((B42-B41)&gt;0,-ABS((B42-B41)/(C42-B41)),MIN(1,ABS((B42-B41)/(C42-B41))))),IF(ABS((B42-B41))&lt;500,1,MIN(1,500/ABS((B42-B41))))))</f>
        <v/>
      </c>
      <c r="G42">
        <f>IF(AND(ABS((B42-B41))&lt;500,ABS((C42-B41))&lt;500),1,IF(AND(ABS((B42-B41))&lt;500,ABS((C42-B41))&gt;=500),0,IF((B42-B41)*(C42-B41)&gt;0,1,0)))</f>
        <v/>
      </c>
      <c r="I42" s="6" t="n">
        <v>50850</v>
      </c>
      <c r="J42" s="7" t="n">
        <v>50994.066</v>
      </c>
      <c r="K42">
        <f>ABS(I42-J42)</f>
        <v/>
      </c>
      <c r="L42" s="8">
        <f>IF(I42=0,"-",1-ABS(I42-J42)/I42)</f>
        <v/>
      </c>
      <c r="M42">
        <f>IF((J42-I41)&gt;=500,IF(ABS((I42-I41))&lt;500,"",IF((I42-I41)&lt;0,-ABS((I42-I41)/(J42-I41)),MIN(1,ABS((I42-I41)/(J42-I41))))),IF((J42-I41)&lt;=-500,IF(ABS((I42-I41))&lt;500,"",IF((I42-I41)&gt;0,-ABS((I42-I41)/(J42-I41)),MIN(1,ABS((I42-I41)/(J42-I41))))),IF(ABS((I42-I41))&lt;500,1,MIN(1,500/ABS((I42-I41))))))</f>
        <v/>
      </c>
      <c r="N42">
        <f>IF(AND(ABS((I42-I41))&lt;500,ABS((J42-I41))&lt;500),1,IF(AND(ABS((I42-I41))&lt;500,ABS((J42-I41))&gt;=500),0,IF((I42-I41)*(J42-I41)&gt;0,1,0)))</f>
        <v/>
      </c>
      <c r="P42" s="6" t="n">
        <v>50700</v>
      </c>
      <c r="Q42" s="7" t="n">
        <v>51513.273</v>
      </c>
      <c r="R42">
        <f>ABS(P42-Q42)</f>
        <v/>
      </c>
      <c r="S42" s="8">
        <f>IF(P42=0,"-",1-ABS(P42-Q42)/P42)</f>
        <v/>
      </c>
      <c r="T42">
        <f>IF((Q42-P41)&gt;=500,IF(ABS((P42-P41))&lt;500,"",IF((P42-P41)&lt;0,-ABS((P42-P41)/(Q42-P41)),MIN(1,ABS((P42-P41)/(Q42-P41))))),IF((Q42-P41)&lt;=-500,IF(ABS((P42-P41))&lt;500,"",IF((P42-P41)&gt;0,-ABS((P42-P41)/(Q42-P41)),MIN(1,ABS((P42-P41)/(Q42-P41))))),IF(ABS((P42-P41))&lt;500,1,MIN(1,500/ABS((P42-P41))))))</f>
        <v/>
      </c>
      <c r="U42">
        <f>IF(AND(ABS((P42-P41))&lt;500,ABS((Q42-P41))&lt;500),1,IF(AND(ABS((P42-P41))&lt;500,ABS((Q42-P41))&gt;=500),0,IF((P42-P41)*(Q42-P41)&gt;0,1,0)))</f>
        <v/>
      </c>
      <c r="W42" s="6" t="n">
        <v>45116.67</v>
      </c>
      <c r="X42" s="7" t="n">
        <v>46037.797</v>
      </c>
      <c r="Y42">
        <f>ABS(W42-X42)</f>
        <v/>
      </c>
      <c r="Z42" s="8">
        <f>IF(W42=0,"-",1-ABS(W42-X42)/W42)</f>
        <v/>
      </c>
      <c r="AA42">
        <f>IF((X42-W41)&gt;=500,IF(ABS((W42-W41))&lt;500,"",IF((W42-W41)&lt;0,-ABS((W42-W41)/(X42-W41)),MIN(1,ABS((W42-W41)/(X42-W41))))),IF((X42-W41)&lt;=-500,IF(ABS((W42-W41))&lt;500,"",IF((W42-W41)&gt;0,-ABS((W42-W41)/(X42-W41)),MIN(1,ABS((W42-W41)/(X42-W41))))),IF(ABS((W42-W41))&lt;500,1,MIN(1,500/ABS((W42-W41))))))</f>
        <v/>
      </c>
      <c r="AB42">
        <f>IF(AND(ABS((W42-W41))&lt;500,ABS((X42-W41))&lt;500),1,IF(AND(ABS((W42-W41))&lt;500,ABS((X42-W41))&gt;=500),0,IF((W42-W41)*(X42-W41)&gt;0,1,0)))</f>
        <v/>
      </c>
      <c r="AD42" s="6" t="n">
        <v>41366.67</v>
      </c>
      <c r="AE42" s="7" t="n">
        <v>42115.52</v>
      </c>
      <c r="AF42">
        <f>ABS(AD42-AE42)</f>
        <v/>
      </c>
      <c r="AG42" s="8">
        <f>IF(AD42=0,"-",1-ABS(AD42-AE42)/AD42)</f>
        <v/>
      </c>
      <c r="AH42">
        <f>IF((AE42-AD41)&gt;=500,IF(ABS((AD42-AD41))&lt;500,"",IF((AD42-AD41)&lt;0,-ABS((AD42-AD41)/(AE42-AD41)),MIN(1,ABS((AD42-AD41)/(AE42-AD41))))),IF((AE42-AD41)&lt;=-500,IF(ABS((AD42-AD41))&lt;500,"",IF((AD42-AD41)&gt;0,-ABS((AD42-AD41)/(AE42-AD41)),MIN(1,ABS((AD42-AD41)/(AE42-AD41))))),IF(ABS((AD42-AD41))&lt;500,1,MIN(1,500/ABS((AD42-AD41))))))</f>
        <v/>
      </c>
      <c r="AI42">
        <f>IF(AND(ABS((AD42-AD41))&lt;500,ABS((AE42-AD41))&lt;500),1,IF(AND(ABS((AD42-AD41))&lt;500,ABS((AE42-AD41))&gt;=500),0,IF((AD42-AD41)*(AE42-AD41)&gt;0,1,0)))</f>
        <v/>
      </c>
      <c r="AK42" s="6" t="n">
        <v>45750</v>
      </c>
      <c r="AL42" s="7" t="n">
        <v>46292.445</v>
      </c>
      <c r="AM42">
        <f>ABS(AK42-AL42)</f>
        <v/>
      </c>
      <c r="AN42" s="8">
        <f>IF(AK42=0,"-",1-ABS(AK42-AL42)/AK42)</f>
        <v/>
      </c>
      <c r="AO42">
        <f>IF((AL42-AK41)&gt;=500,IF(ABS((AK42-AK41))&lt;500,"",IF((AK42-AK41)&lt;0,-ABS((AK42-AK41)/(AL42-AK41)),MIN(1,ABS((AK42-AK41)/(AL42-AK41))))),IF((AL42-AK41)&lt;=-500,IF(ABS((AK42-AK41))&lt;500,"",IF((AK42-AK41)&gt;0,-ABS((AK42-AK41)/(AL42-AK41)),MIN(1,ABS((AK42-AK41)/(AL42-AK41))))),IF(ABS((AK42-AK41))&lt;500,1,MIN(1,500/ABS((AK42-AK41))))))</f>
        <v/>
      </c>
      <c r="AP42">
        <f>IF(AND(ABS((AK42-AK41))&lt;500,ABS((AL42-AK41))&lt;500),1,IF(AND(ABS((AK42-AK41))&lt;500,ABS((AL42-AK41))&gt;=500),0,IF((AK42-AK41)*(AL42-AK41)&gt;0,1,0)))</f>
        <v/>
      </c>
    </row>
    <row r="43">
      <c r="A43" s="5" t="n">
        <v>45837</v>
      </c>
      <c r="B43" s="6" t="n">
        <v>51900</v>
      </c>
      <c r="C43" s="7" t="n">
        <v>52095.125</v>
      </c>
      <c r="D43">
        <f>ABS(B43-C43)</f>
        <v/>
      </c>
      <c r="E43" s="8">
        <f>IF(B43=0,"-",1-ABS(B43-C43)/B43)</f>
        <v/>
      </c>
      <c r="F43">
        <f>IF((C43-B42)&gt;=500,IF(ABS((B43-B42))&lt;500,"",IF((B43-B42)&lt;0,-ABS((B43-B42)/(C43-B42)),MIN(1,ABS((B43-B42)/(C43-B42))))),IF((C43-B42)&lt;=-500,IF(ABS((B43-B42))&lt;500,"",IF((B43-B42)&gt;0,-ABS((B43-B42)/(C43-B42)),MIN(1,ABS((B43-B42)/(C43-B42))))),IF(ABS((B43-B42))&lt;500,1,MIN(1,500/ABS((B43-B42))))))</f>
        <v/>
      </c>
      <c r="G43">
        <f>IF(AND(ABS((B43-B42))&lt;500,ABS((C43-B42))&lt;500),1,IF(AND(ABS((B43-B42))&lt;500,ABS((C43-B42))&gt;=500),0,IF((B43-B42)*(C43-B42)&gt;0,1,0)))</f>
        <v/>
      </c>
      <c r="I43" s="6" t="n">
        <v>50750</v>
      </c>
      <c r="J43" s="7" t="n">
        <v>50604.48</v>
      </c>
      <c r="K43">
        <f>ABS(I43-J43)</f>
        <v/>
      </c>
      <c r="L43" s="8">
        <f>IF(I43=0,"-",1-ABS(I43-J43)/I43)</f>
        <v/>
      </c>
      <c r="M43">
        <f>IF((J43-I42)&gt;=500,IF(ABS((I43-I42))&lt;500,"",IF((I43-I42)&lt;0,-ABS((I43-I42)/(J43-I42)),MIN(1,ABS((I43-I42)/(J43-I42))))),IF((J43-I42)&lt;=-500,IF(ABS((I43-I42))&lt;500,"",IF((I43-I42)&gt;0,-ABS((I43-I42)/(J43-I42)),MIN(1,ABS((I43-I42)/(J43-I42))))),IF(ABS((I43-I42))&lt;500,1,MIN(1,500/ABS((I43-I42))))))</f>
        <v/>
      </c>
      <c r="N43">
        <f>IF(AND(ABS((I43-I42))&lt;500,ABS((J43-I42))&lt;500),1,IF(AND(ABS((I43-I42))&lt;500,ABS((J43-I42))&gt;=500),0,IF((I43-I42)*(J43-I42)&gt;0,1,0)))</f>
        <v/>
      </c>
      <c r="P43" s="6" t="n">
        <v>49900</v>
      </c>
      <c r="Q43" s="7" t="n">
        <v>50276.543</v>
      </c>
      <c r="R43">
        <f>ABS(P43-Q43)</f>
        <v/>
      </c>
      <c r="S43" s="8">
        <f>IF(P43=0,"-",1-ABS(P43-Q43)/P43)</f>
        <v/>
      </c>
      <c r="T43">
        <f>IF((Q43-P42)&gt;=500,IF(ABS((P43-P42))&lt;500,"",IF((P43-P42)&lt;0,-ABS((P43-P42)/(Q43-P42)),MIN(1,ABS((P43-P42)/(Q43-P42))))),IF((Q43-P42)&lt;=-500,IF(ABS((P43-P42))&lt;500,"",IF((P43-P42)&gt;0,-ABS((P43-P42)/(Q43-P42)),MIN(1,ABS((P43-P42)/(Q43-P42))))),IF(ABS((P43-P42))&lt;500,1,MIN(1,500/ABS((P43-P42))))))</f>
        <v/>
      </c>
      <c r="U43">
        <f>IF(AND(ABS((P43-P42))&lt;500,ABS((Q43-P42))&lt;500),1,IF(AND(ABS((P43-P42))&lt;500,ABS((Q43-P42))&gt;=500),0,IF((P43-P42)*(Q43-P42)&gt;0,1,0)))</f>
        <v/>
      </c>
      <c r="W43" s="6" t="n">
        <v>44250</v>
      </c>
      <c r="X43" s="7" t="n">
        <v>45173.04</v>
      </c>
      <c r="Y43">
        <f>ABS(W43-X43)</f>
        <v/>
      </c>
      <c r="Z43" s="8">
        <f>IF(W43=0,"-",1-ABS(W43-X43)/W43)</f>
        <v/>
      </c>
      <c r="AA43">
        <f>IF((X43-W42)&gt;=500,IF(ABS((W43-W42))&lt;500,"",IF((W43-W42)&lt;0,-ABS((W43-W42)/(X43-W42)),MIN(1,ABS((W43-W42)/(X43-W42))))),IF((X43-W42)&lt;=-500,IF(ABS((W43-W42))&lt;500,"",IF((W43-W42)&gt;0,-ABS((W43-W42)/(X43-W42)),MIN(1,ABS((W43-W42)/(X43-W42))))),IF(ABS((W43-W42))&lt;500,1,MIN(1,500/ABS((W43-W42))))))</f>
        <v/>
      </c>
      <c r="AB43">
        <f>IF(AND(ABS((W43-W42))&lt;500,ABS((X43-W42))&lt;500),1,IF(AND(ABS((W43-W42))&lt;500,ABS((X43-W42))&gt;=500),0,IF((W43-W42)*(X43-W42)&gt;0,1,0)))</f>
        <v/>
      </c>
      <c r="AD43" s="6" t="n">
        <v>41066.67</v>
      </c>
      <c r="AE43" s="7" t="n">
        <v>41556.17</v>
      </c>
      <c r="AF43">
        <f>ABS(AD43-AE43)</f>
        <v/>
      </c>
      <c r="AG43" s="8">
        <f>IF(AD43=0,"-",1-ABS(AD43-AE43)/AD43)</f>
        <v/>
      </c>
      <c r="AH43">
        <f>IF((AE43-AD42)&gt;=500,IF(ABS((AD43-AD42))&lt;500,"",IF((AD43-AD42)&lt;0,-ABS((AD43-AD42)/(AE43-AD42)),MIN(1,ABS((AD43-AD42)/(AE43-AD42))))),IF((AE43-AD42)&lt;=-500,IF(ABS((AD43-AD42))&lt;500,"",IF((AD43-AD42)&gt;0,-ABS((AD43-AD42)/(AE43-AD42)),MIN(1,ABS((AD43-AD42)/(AE43-AD42))))),IF(ABS((AD43-AD42))&lt;500,1,MIN(1,500/ABS((AD43-AD42))))))</f>
        <v/>
      </c>
      <c r="AI43">
        <f>IF(AND(ABS((AD43-AD42))&lt;500,ABS((AE43-AD42))&lt;500),1,IF(AND(ABS((AD43-AD42))&lt;500,ABS((AE43-AD42))&gt;=500),0,IF((AD43-AD42)*(AE43-AD42)&gt;0,1,0)))</f>
        <v/>
      </c>
      <c r="AK43" s="6" t="n">
        <v>45266.67</v>
      </c>
      <c r="AL43" s="7" t="n">
        <v>45846.797</v>
      </c>
      <c r="AM43">
        <f>ABS(AK43-AL43)</f>
        <v/>
      </c>
      <c r="AN43" s="8">
        <f>IF(AK43=0,"-",1-ABS(AK43-AL43)/AK43)</f>
        <v/>
      </c>
      <c r="AO43">
        <f>IF((AL43-AK42)&gt;=500,IF(ABS((AK43-AK42))&lt;500,"",IF((AK43-AK42)&lt;0,-ABS((AK43-AK42)/(AL43-AK42)),MIN(1,ABS((AK43-AK42)/(AL43-AK42))))),IF((AL43-AK42)&lt;=-500,IF(ABS((AK43-AK42))&lt;500,"",IF((AK43-AK42)&gt;0,-ABS((AK43-AK42)/(AL43-AK42)),MIN(1,ABS((AK43-AK42)/(AL43-AK42))))),IF(ABS((AK43-AK42))&lt;500,1,MIN(1,500/ABS((AK43-AK42))))))</f>
        <v/>
      </c>
      <c r="AP43">
        <f>IF(AND(ABS((AK43-AK42))&lt;500,ABS((AL43-AK42))&lt;500),1,IF(AND(ABS((AK43-AK42))&lt;500,ABS((AL43-AK42))&gt;=500),0,IF((AK43-AK42)*(AL43-AK42)&gt;0,1,0)))</f>
        <v/>
      </c>
    </row>
    <row r="44">
      <c r="A44" s="5" t="n">
        <v>45844</v>
      </c>
      <c r="B44" s="6" t="n">
        <v>51600</v>
      </c>
      <c r="C44" s="7" t="n">
        <v>52071.242</v>
      </c>
      <c r="D44">
        <f>ABS(B44-C44)</f>
        <v/>
      </c>
      <c r="E44" s="8">
        <f>IF(B44=0,"-",1-ABS(B44-C44)/B44)</f>
        <v/>
      </c>
      <c r="F44">
        <f>IF((C44-B43)&gt;=500,IF(ABS((B44-B43))&lt;500,"",IF((B44-B43)&lt;0,-ABS((B44-B43)/(C44-B43)),MIN(1,ABS((B44-B43)/(C44-B43))))),IF((C44-B43)&lt;=-500,IF(ABS((B44-B43))&lt;500,"",IF((B44-B43)&gt;0,-ABS((B44-B43)/(C44-B43)),MIN(1,ABS((B44-B43)/(C44-B43))))),IF(ABS((B44-B43))&lt;500,1,MIN(1,500/ABS((B44-B43))))))</f>
        <v/>
      </c>
      <c r="G44">
        <f>IF(AND(ABS((B44-B43))&lt;500,ABS((C44-B43))&lt;500),1,IF(AND(ABS((B44-B43))&lt;500,ABS((C44-B43))&gt;=500),0,IF((B44-B43)*(C44-B43)&gt;0,1,0)))</f>
        <v/>
      </c>
      <c r="I44" s="6" t="n">
        <v>50400</v>
      </c>
      <c r="J44" s="7" t="n">
        <v>50748.848</v>
      </c>
      <c r="K44">
        <f>ABS(I44-J44)</f>
        <v/>
      </c>
      <c r="L44" s="8">
        <f>IF(I44=0,"-",1-ABS(I44-J44)/I44)</f>
        <v/>
      </c>
      <c r="M44">
        <f>IF((J44-I43)&gt;=500,IF(ABS((I44-I43))&lt;500,"",IF((I44-I43)&lt;0,-ABS((I44-I43)/(J44-I43)),MIN(1,ABS((I44-I43)/(J44-I43))))),IF((J44-I43)&lt;=-500,IF(ABS((I44-I43))&lt;500,"",IF((I44-I43)&gt;0,-ABS((I44-I43)/(J44-I43)),MIN(1,ABS((I44-I43)/(J44-I43))))),IF(ABS((I44-I43))&lt;500,1,MIN(1,500/ABS((I44-I43))))))</f>
        <v/>
      </c>
      <c r="N44">
        <f>IF(AND(ABS((I44-I43))&lt;500,ABS((J44-I43))&lt;500),1,IF(AND(ABS((I44-I43))&lt;500,ABS((J44-I43))&gt;=500),0,IF((I44-I43)*(J44-I43)&gt;0,1,0)))</f>
        <v/>
      </c>
      <c r="P44" s="6" t="n">
        <v>49200</v>
      </c>
      <c r="Q44" s="7" t="n">
        <v>49564.703</v>
      </c>
      <c r="R44">
        <f>ABS(P44-Q44)</f>
        <v/>
      </c>
      <c r="S44" s="8">
        <f>IF(P44=0,"-",1-ABS(P44-Q44)/P44)</f>
        <v/>
      </c>
      <c r="T44">
        <f>IF((Q44-P43)&gt;=500,IF(ABS((P44-P43))&lt;500,"",IF((P44-P43)&lt;0,-ABS((P44-P43)/(Q44-P43)),MIN(1,ABS((P44-P43)/(Q44-P43))))),IF((Q44-P43)&lt;=-500,IF(ABS((P44-P43))&lt;500,"",IF((P44-P43)&gt;0,-ABS((P44-P43)/(Q44-P43)),MIN(1,ABS((P44-P43)/(Q44-P43))))),IF(ABS((P44-P43))&lt;500,1,MIN(1,500/ABS((P44-P43))))))</f>
        <v/>
      </c>
      <c r="U44">
        <f>IF(AND(ABS((P44-P43))&lt;500,ABS((Q44-P43))&lt;500),1,IF(AND(ABS((P44-P43))&lt;500,ABS((Q44-P43))&gt;=500),0,IF((P44-P43)*(Q44-P43)&gt;0,1,0)))</f>
        <v/>
      </c>
      <c r="W44" s="6" t="n">
        <v>43783.33</v>
      </c>
      <c r="X44" s="7" t="n">
        <v>44465.207</v>
      </c>
      <c r="Y44">
        <f>ABS(W44-X44)</f>
        <v/>
      </c>
      <c r="Z44" s="8">
        <f>IF(W44=0,"-",1-ABS(W44-X44)/W44)</f>
        <v/>
      </c>
      <c r="AA44">
        <f>IF((X44-W43)&gt;=500,IF(ABS((W44-W43))&lt;500,"",IF((W44-W43)&lt;0,-ABS((W44-W43)/(X44-W43)),MIN(1,ABS((W44-W43)/(X44-W43))))),IF((X44-W43)&lt;=-500,IF(ABS((W44-W43))&lt;500,"",IF((W44-W43)&gt;0,-ABS((W44-W43)/(X44-W43)),MIN(1,ABS((W44-W43)/(X44-W43))))),IF(ABS((W44-W43))&lt;500,1,MIN(1,500/ABS((W44-W43))))))</f>
        <v/>
      </c>
      <c r="AB44">
        <f>IF(AND(ABS((W44-W43))&lt;500,ABS((X44-W43))&lt;500),1,IF(AND(ABS((W44-W43))&lt;500,ABS((X44-W43))&gt;=500),0,IF((W44-W43)*(X44-W43)&gt;0,1,0)))</f>
        <v/>
      </c>
      <c r="AD44" s="6" t="n">
        <v>40466.67</v>
      </c>
      <c r="AE44" s="7" t="n">
        <v>41207.74</v>
      </c>
      <c r="AF44">
        <f>ABS(AD44-AE44)</f>
        <v/>
      </c>
      <c r="AG44" s="8">
        <f>IF(AD44=0,"-",1-ABS(AD44-AE44)/AD44)</f>
        <v/>
      </c>
      <c r="AH44">
        <f>IF((AE44-AD43)&gt;=500,IF(ABS((AD44-AD43))&lt;500,"",IF((AD44-AD43)&lt;0,-ABS((AD44-AD43)/(AE44-AD43)),MIN(1,ABS((AD44-AD43)/(AE44-AD43))))),IF((AE44-AD43)&lt;=-500,IF(ABS((AD44-AD43))&lt;500,"",IF((AD44-AD43)&gt;0,-ABS((AD44-AD43)/(AE44-AD43)),MIN(1,ABS((AD44-AD43)/(AE44-AD43))))),IF(ABS((AD44-AD43))&lt;500,1,MIN(1,500/ABS((AD44-AD43))))))</f>
        <v/>
      </c>
      <c r="AI44">
        <f>IF(AND(ABS((AD44-AD43))&lt;500,ABS((AE44-AD43))&lt;500),1,IF(AND(ABS((AD44-AD43))&lt;500,ABS((AE44-AD43))&gt;=500),0,IF((AD44-AD43)*(AE44-AD43)&gt;0,1,0)))</f>
        <v/>
      </c>
      <c r="AK44" s="6" t="n">
        <v>45000</v>
      </c>
      <c r="AL44" s="7" t="n">
        <v>45446.97</v>
      </c>
      <c r="AM44">
        <f>ABS(AK44-AL44)</f>
        <v/>
      </c>
      <c r="AN44" s="8">
        <f>IF(AK44=0,"-",1-ABS(AK44-AL44)/AK44)</f>
        <v/>
      </c>
      <c r="AO44">
        <f>IF((AL44-AK43)&gt;=500,IF(ABS((AK44-AK43))&lt;500,"",IF((AK44-AK43)&lt;0,-ABS((AK44-AK43)/(AL44-AK43)),MIN(1,ABS((AK44-AK43)/(AL44-AK43))))),IF((AL44-AK43)&lt;=-500,IF(ABS((AK44-AK43))&lt;500,"",IF((AK44-AK43)&gt;0,-ABS((AK44-AK43)/(AL44-AK43)),MIN(1,ABS((AK44-AK43)/(AL44-AK43))))),IF(ABS((AK44-AK43))&lt;500,1,MIN(1,500/ABS((AK44-AK43))))))</f>
        <v/>
      </c>
      <c r="AP44">
        <f>IF(AND(ABS((AK44-AK43))&lt;500,ABS((AL44-AK43))&lt;500),1,IF(AND(ABS((AK44-AK43))&lt;500,ABS((AL44-AK43))&gt;=500),0,IF((AK44-AK43)*(AL44-AK43)&gt;0,1,0)))</f>
        <v/>
      </c>
    </row>
    <row r="45">
      <c r="A45" s="5" t="n">
        <v>45851</v>
      </c>
      <c r="B45" s="6" t="n">
        <v>51000</v>
      </c>
      <c r="C45" s="7" t="n">
        <v>51865.965</v>
      </c>
      <c r="D45">
        <f>ABS(B45-C45)</f>
        <v/>
      </c>
      <c r="E45" s="8">
        <f>IF(B45=0,"-",1-ABS(B45-C45)/B45)</f>
        <v/>
      </c>
      <c r="F45">
        <f>IF((C45-B44)&gt;=500,IF(ABS((B45-B44))&lt;500,"",IF((B45-B44)&lt;0,-ABS((B45-B44)/(C45-B44)),MIN(1,ABS((B45-B44)/(C45-B44))))),IF((C45-B44)&lt;=-500,IF(ABS((B45-B44))&lt;500,"",IF((B45-B44)&gt;0,-ABS((B45-B44)/(C45-B44)),MIN(1,ABS((B45-B44)/(C45-B44))))),IF(ABS((B45-B44))&lt;500,1,MIN(1,500/ABS((B45-B44))))))</f>
        <v/>
      </c>
      <c r="G45">
        <f>IF(AND(ABS((B45-B44))&lt;500,ABS((C45-B44))&lt;500),1,IF(AND(ABS((B45-B44))&lt;500,ABS((C45-B44))&gt;=500),0,IF((B45-B44)*(C45-B44)&gt;0,1,0)))</f>
        <v/>
      </c>
      <c r="I45" s="6" t="n">
        <v>49700</v>
      </c>
      <c r="J45" s="7" t="n">
        <v>50223.316</v>
      </c>
      <c r="K45">
        <f>ABS(I45-J45)</f>
        <v/>
      </c>
      <c r="L45" s="8">
        <f>IF(I45=0,"-",1-ABS(I45-J45)/I45)</f>
        <v/>
      </c>
      <c r="M45">
        <f>IF((J45-I44)&gt;=500,IF(ABS((I45-I44))&lt;500,"",IF((I45-I44)&lt;0,-ABS((I45-I44)/(J45-I44)),MIN(1,ABS((I45-I44)/(J45-I44))))),IF((J45-I44)&lt;=-500,IF(ABS((I45-I44))&lt;500,"",IF((I45-I44)&gt;0,-ABS((I45-I44)/(J45-I44)),MIN(1,ABS((I45-I44)/(J45-I44))))),IF(ABS((I45-I44))&lt;500,1,MIN(1,500/ABS((I45-I44))))))</f>
        <v/>
      </c>
      <c r="N45">
        <f>IF(AND(ABS((I45-I44))&lt;500,ABS((J45-I44))&lt;500),1,IF(AND(ABS((I45-I44))&lt;500,ABS((J45-I44))&gt;=500),0,IF((I45-I44)*(J45-I44)&gt;0,1,0)))</f>
        <v/>
      </c>
      <c r="P45" s="6" t="n">
        <v>48400</v>
      </c>
      <c r="Q45" s="7" t="n">
        <v>48881.758</v>
      </c>
      <c r="R45">
        <f>ABS(P45-Q45)</f>
        <v/>
      </c>
      <c r="S45" s="8">
        <f>IF(P45=0,"-",1-ABS(P45-Q45)/P45)</f>
        <v/>
      </c>
      <c r="T45">
        <f>IF((Q45-P44)&gt;=500,IF(ABS((P45-P44))&lt;500,"",IF((P45-P44)&lt;0,-ABS((P45-P44)/(Q45-P44)),MIN(1,ABS((P45-P44)/(Q45-P44))))),IF((Q45-P44)&lt;=-500,IF(ABS((P45-P44))&lt;500,"",IF((P45-P44)&gt;0,-ABS((P45-P44)/(Q45-P44)),MIN(1,ABS((P45-P44)/(Q45-P44))))),IF(ABS((P45-P44))&lt;500,1,MIN(1,500/ABS((P45-P44))))))</f>
        <v/>
      </c>
      <c r="U45">
        <f>IF(AND(ABS((P45-P44))&lt;500,ABS((Q45-P44))&lt;500),1,IF(AND(ABS((P45-P44))&lt;500,ABS((Q45-P44))&gt;=500),0,IF((P45-P44)*(Q45-P44)&gt;0,1,0)))</f>
        <v/>
      </c>
      <c r="W45" s="6" t="n">
        <v>43533.33</v>
      </c>
      <c r="X45" s="7" t="n">
        <v>43922.574</v>
      </c>
      <c r="Y45">
        <f>ABS(W45-X45)</f>
        <v/>
      </c>
      <c r="Z45" s="8">
        <f>IF(W45=0,"-",1-ABS(W45-X45)/W45)</f>
        <v/>
      </c>
      <c r="AA45">
        <f>IF((X45-W44)&gt;=500,IF(ABS((W45-W44))&lt;500,"",IF((W45-W44)&lt;0,-ABS((W45-W44)/(X45-W44)),MIN(1,ABS((W45-W44)/(X45-W44))))),IF((X45-W44)&lt;=-500,IF(ABS((W45-W44))&lt;500,"",IF((W45-W44)&gt;0,-ABS((W45-W44)/(X45-W44)),MIN(1,ABS((W45-W44)/(X45-W44))))),IF(ABS((W45-W44))&lt;500,1,MIN(1,500/ABS((W45-W44))))))</f>
        <v/>
      </c>
      <c r="AB45">
        <f>IF(AND(ABS((W45-W44))&lt;500,ABS((X45-W44))&lt;500),1,IF(AND(ABS((W45-W44))&lt;500,ABS((X45-W44))&gt;=500),0,IF((W45-W44)*(X45-W44)&gt;0,1,0)))</f>
        <v/>
      </c>
      <c r="AD45" s="6" t="n">
        <v>39683.33</v>
      </c>
      <c r="AE45" s="7" t="n">
        <v>40600.48</v>
      </c>
      <c r="AF45">
        <f>ABS(AD45-AE45)</f>
        <v/>
      </c>
      <c r="AG45" s="8">
        <f>IF(AD45=0,"-",1-ABS(AD45-AE45)/AD45)</f>
        <v/>
      </c>
      <c r="AH45">
        <f>IF((AE45-AD44)&gt;=500,IF(ABS((AD45-AD44))&lt;500,"",IF((AD45-AD44)&lt;0,-ABS((AD45-AD44)/(AE45-AD44)),MIN(1,ABS((AD45-AD44)/(AE45-AD44))))),IF((AE45-AD44)&lt;=-500,IF(ABS((AD45-AD44))&lt;500,"",IF((AD45-AD44)&gt;0,-ABS((AD45-AD44)/(AE45-AD44)),MIN(1,ABS((AD45-AD44)/(AE45-AD44))))),IF(ABS((AD45-AD44))&lt;500,1,MIN(1,500/ABS((AD45-AD44))))))</f>
        <v/>
      </c>
      <c r="AI45">
        <f>IF(AND(ABS((AD45-AD44))&lt;500,ABS((AE45-AD44))&lt;500),1,IF(AND(ABS((AD45-AD44))&lt;500,ABS((AE45-AD44))&gt;=500),0,IF((AD45-AD44)*(AE45-AD44)&gt;0,1,0)))</f>
        <v/>
      </c>
      <c r="AK45" s="6" t="n">
        <v>45066.67</v>
      </c>
      <c r="AL45" s="7" t="n">
        <v>45230.734</v>
      </c>
      <c r="AM45">
        <f>ABS(AK45-AL45)</f>
        <v/>
      </c>
      <c r="AN45" s="8">
        <f>IF(AK45=0,"-",1-ABS(AK45-AL45)/AK45)</f>
        <v/>
      </c>
      <c r="AO45">
        <f>IF((AL45-AK44)&gt;=500,IF(ABS((AK45-AK44))&lt;500,"",IF((AK45-AK44)&lt;0,-ABS((AK45-AK44)/(AL45-AK44)),MIN(1,ABS((AK45-AK44)/(AL45-AK44))))),IF((AL45-AK44)&lt;=-500,IF(ABS((AK45-AK44))&lt;500,"",IF((AK45-AK44)&gt;0,-ABS((AK45-AK44)/(AL45-AK44)),MIN(1,ABS((AK45-AK44)/(AL45-AK44))))),IF(ABS((AK45-AK44))&lt;500,1,MIN(1,500/ABS((AK45-AK44))))))</f>
        <v/>
      </c>
      <c r="AP45">
        <f>IF(AND(ABS((AK45-AK44))&lt;500,ABS((AL45-AK44))&lt;500),1,IF(AND(ABS((AK45-AK44))&lt;500,ABS((AL45-AK44))&gt;=500),0,IF((AK45-AK44)*(AL45-AK44)&gt;0,1,0)))</f>
        <v/>
      </c>
    </row>
    <row r="46">
      <c r="A46" s="5" t="n">
        <v>45858</v>
      </c>
      <c r="B46" s="6" t="n">
        <v>50500</v>
      </c>
      <c r="C46" s="7" t="n">
        <v>51321.332</v>
      </c>
      <c r="D46">
        <f>ABS(B46-C46)</f>
        <v/>
      </c>
      <c r="E46" s="8">
        <f>IF(B46=0,"-",1-ABS(B46-C46)/B46)</f>
        <v/>
      </c>
      <c r="F46">
        <f>IF((C46-B45)&gt;=500,IF(ABS((B46-B45))&lt;500,"",IF((B46-B45)&lt;0,-ABS((B46-B45)/(C46-B45)),MIN(1,ABS((B46-B45)/(C46-B45))))),IF((C46-B45)&lt;=-500,IF(ABS((B46-B45))&lt;500,"",IF((B46-B45)&gt;0,-ABS((B46-B45)/(C46-B45)),MIN(1,ABS((B46-B45)/(C46-B45))))),IF(ABS((B46-B45))&lt;500,1,MIN(1,500/ABS((B46-B45))))))</f>
        <v/>
      </c>
      <c r="G46">
        <f>IF(AND(ABS((B46-B45))&lt;500,ABS((C46-B45))&lt;500),1,IF(AND(ABS((B46-B45))&lt;500,ABS((C46-B45))&gt;=500),0,IF((B46-B45)*(C46-B45)&gt;0,1,0)))</f>
        <v/>
      </c>
      <c r="I46" s="6" t="n">
        <v>49200</v>
      </c>
      <c r="J46" s="7" t="n">
        <v>49408.1</v>
      </c>
      <c r="K46">
        <f>ABS(I46-J46)</f>
        <v/>
      </c>
      <c r="L46" s="8">
        <f>IF(I46=0,"-",1-ABS(I46-J46)/I46)</f>
        <v/>
      </c>
      <c r="M46">
        <f>IF((J46-I45)&gt;=500,IF(ABS((I46-I45))&lt;500,"",IF((I46-I45)&lt;0,-ABS((I46-I45)/(J46-I45)),MIN(1,ABS((I46-I45)/(J46-I45))))),IF((J46-I45)&lt;=-500,IF(ABS((I46-I45))&lt;500,"",IF((I46-I45)&gt;0,-ABS((I46-I45)/(J46-I45)),MIN(1,ABS((I46-I45)/(J46-I45))))),IF(ABS((I46-I45))&lt;500,1,MIN(1,500/ABS((I46-I45))))))</f>
        <v/>
      </c>
      <c r="N46">
        <f>IF(AND(ABS((I46-I45))&lt;500,ABS((J46-I45))&lt;500),1,IF(AND(ABS((I46-I45))&lt;500,ABS((J46-I45))&gt;=500),0,IF((I46-I45)*(J46-I45)&gt;0,1,0)))</f>
        <v/>
      </c>
      <c r="P46" s="6" t="n">
        <v>47500</v>
      </c>
      <c r="Q46" s="7" t="n">
        <v>48193.59</v>
      </c>
      <c r="R46">
        <f>ABS(P46-Q46)</f>
        <v/>
      </c>
      <c r="S46" s="8">
        <f>IF(P46=0,"-",1-ABS(P46-Q46)/P46)</f>
        <v/>
      </c>
      <c r="T46">
        <f>IF((Q46-P45)&gt;=500,IF(ABS((P46-P45))&lt;500,"",IF((P46-P45)&lt;0,-ABS((P46-P45)/(Q46-P45)),MIN(1,ABS((P46-P45)/(Q46-P45))))),IF((Q46-P45)&lt;=-500,IF(ABS((P46-P45))&lt;500,"",IF((P46-P45)&gt;0,-ABS((P46-P45)/(Q46-P45)),MIN(1,ABS((P46-P45)/(Q46-P45))))),IF(ABS((P46-P45))&lt;500,1,MIN(1,500/ABS((P46-P45))))))</f>
        <v/>
      </c>
      <c r="U46">
        <f>IF(AND(ABS((P46-P45))&lt;500,ABS((Q46-P45))&lt;500),1,IF(AND(ABS((P46-P45))&lt;500,ABS((Q46-P45))&gt;=500),0,IF((P46-P45)*(Q46-P45)&gt;0,1,0)))</f>
        <v/>
      </c>
      <c r="W46" s="6" t="n">
        <v>43450</v>
      </c>
      <c r="X46" s="7" t="n">
        <v>43389.03</v>
      </c>
      <c r="Y46">
        <f>ABS(W46-X46)</f>
        <v/>
      </c>
      <c r="Z46" s="8">
        <f>IF(W46=0,"-",1-ABS(W46-X46)/W46)</f>
        <v/>
      </c>
      <c r="AA46">
        <f>IF((X46-W45)&gt;=500,IF(ABS((W46-W45))&lt;500,"",IF((W46-W45)&lt;0,-ABS((W46-W45)/(X46-W45)),MIN(1,ABS((W46-W45)/(X46-W45))))),IF((X46-W45)&lt;=-500,IF(ABS((W46-W45))&lt;500,"",IF((W46-W45)&gt;0,-ABS((W46-W45)/(X46-W45)),MIN(1,ABS((W46-W45)/(X46-W45))))),IF(ABS((W46-W45))&lt;500,1,MIN(1,500/ABS((W46-W45))))))</f>
        <v/>
      </c>
      <c r="AB46">
        <f>IF(AND(ABS((W46-W45))&lt;500,ABS((X46-W45))&lt;500),1,IF(AND(ABS((W46-W45))&lt;500,ABS((X46-W45))&gt;=500),0,IF((W46-W45)*(X46-W45)&gt;0,1,0)))</f>
        <v/>
      </c>
      <c r="AD46" s="6" t="n">
        <v>39516.67</v>
      </c>
      <c r="AE46" s="7" t="n">
        <v>39709.316</v>
      </c>
      <c r="AF46">
        <f>ABS(AD46-AE46)</f>
        <v/>
      </c>
      <c r="AG46" s="8">
        <f>IF(AD46=0,"-",1-ABS(AD46-AE46)/AD46)</f>
        <v/>
      </c>
      <c r="AH46">
        <f>IF((AE46-AD45)&gt;=500,IF(ABS((AD46-AD45))&lt;500,"",IF((AD46-AD45)&lt;0,-ABS((AD46-AD45)/(AE46-AD45)),MIN(1,ABS((AD46-AD45)/(AE46-AD45))))),IF((AE46-AD45)&lt;=-500,IF(ABS((AD46-AD45))&lt;500,"",IF((AD46-AD45)&gt;0,-ABS((AD46-AD45)/(AE46-AD45)),MIN(1,ABS((AD46-AD45)/(AE46-AD45))))),IF(ABS((AD46-AD45))&lt;500,1,MIN(1,500/ABS((AD46-AD45))))))</f>
        <v/>
      </c>
      <c r="AI46">
        <f>IF(AND(ABS((AD46-AD45))&lt;500,ABS((AE46-AD45))&lt;500),1,IF(AND(ABS((AD46-AD45))&lt;500,ABS((AE46-AD45))&gt;=500),0,IF((AD46-AD45)*(AE46-AD45)&gt;0,1,0)))</f>
        <v/>
      </c>
      <c r="AK46" s="6" t="n">
        <v>44716.67</v>
      </c>
      <c r="AL46" s="7" t="n">
        <v>45336.598</v>
      </c>
      <c r="AM46">
        <f>ABS(AK46-AL46)</f>
        <v/>
      </c>
      <c r="AN46" s="8">
        <f>IF(AK46=0,"-",1-ABS(AK46-AL46)/AK46)</f>
        <v/>
      </c>
      <c r="AO46">
        <f>IF((AL46-AK45)&gt;=500,IF(ABS((AK46-AK45))&lt;500,"",IF((AK46-AK45)&lt;0,-ABS((AK46-AK45)/(AL46-AK45)),MIN(1,ABS((AK46-AK45)/(AL46-AK45))))),IF((AL46-AK45)&lt;=-500,IF(ABS((AK46-AK45))&lt;500,"",IF((AK46-AK45)&gt;0,-ABS((AK46-AK45)/(AL46-AK45)),MIN(1,ABS((AK46-AK45)/(AL46-AK45))))),IF(ABS((AK46-AK45))&lt;500,1,MIN(1,500/ABS((AK46-AK45))))))</f>
        <v/>
      </c>
      <c r="AP46">
        <f>IF(AND(ABS((AK46-AK45))&lt;500,ABS((AL46-AK45))&lt;500),1,IF(AND(ABS((AK46-AK45))&lt;500,ABS((AL46-AK45))&gt;=500),0,IF((AK46-AK45)*(AL46-AK45)&gt;0,1,0)))</f>
        <v/>
      </c>
    </row>
    <row r="47">
      <c r="A47" s="5" t="n">
        <v>45865</v>
      </c>
      <c r="B47" s="6" t="n">
        <v>50000</v>
      </c>
      <c r="C47" s="7" t="n">
        <v>50806.414</v>
      </c>
      <c r="D47">
        <f>ABS(B47-C47)</f>
        <v/>
      </c>
      <c r="E47" s="8">
        <f>IF(B47=0,"-",1-ABS(B47-C47)/B47)</f>
        <v/>
      </c>
      <c r="F47">
        <f>IF((C47-B46)&gt;=500,IF(ABS((B47-B46))&lt;500,"",IF((B47-B46)&lt;0,-ABS((B47-B46)/(C47-B46)),MIN(1,ABS((B47-B46)/(C47-B46))))),IF((C47-B46)&lt;=-500,IF(ABS((B47-B46))&lt;500,"",IF((B47-B46)&gt;0,-ABS((B47-B46)/(C47-B46)),MIN(1,ABS((B47-B46)/(C47-B46))))),IF(ABS((B47-B46))&lt;500,1,MIN(1,500/ABS((B47-B46))))))</f>
        <v/>
      </c>
      <c r="G47">
        <f>IF(AND(ABS((B47-B46))&lt;500,ABS((C47-B46))&lt;500),1,IF(AND(ABS((B47-B46))&lt;500,ABS((C47-B46))&gt;=500),0,IF((B47-B46)*(C47-B46)&gt;0,1,0)))</f>
        <v/>
      </c>
      <c r="I47" s="6" t="n">
        <v>48750</v>
      </c>
      <c r="J47" s="7" t="n">
        <v>49004.47</v>
      </c>
      <c r="K47">
        <f>ABS(I47-J47)</f>
        <v/>
      </c>
      <c r="L47" s="8">
        <f>IF(I47=0,"-",1-ABS(I47-J47)/I47)</f>
        <v/>
      </c>
      <c r="M47">
        <f>IF((J47-I46)&gt;=500,IF(ABS((I47-I46))&lt;500,"",IF((I47-I46)&lt;0,-ABS((I47-I46)/(J47-I46)),MIN(1,ABS((I47-I46)/(J47-I46))))),IF((J47-I46)&lt;=-500,IF(ABS((I47-I46))&lt;500,"",IF((I47-I46)&gt;0,-ABS((I47-I46)/(J47-I46)),MIN(1,ABS((I47-I46)/(J47-I46))))),IF(ABS((I47-I46))&lt;500,1,MIN(1,500/ABS((I47-I46))))))</f>
        <v/>
      </c>
      <c r="N47">
        <f>IF(AND(ABS((I47-I46))&lt;500,ABS((J47-I46))&lt;500),1,IF(AND(ABS((I47-I46))&lt;500,ABS((J47-I46))&gt;=500),0,IF((I47-I46)*(J47-I46)&gt;0,1,0)))</f>
        <v/>
      </c>
      <c r="P47" s="6" t="n">
        <v>48000</v>
      </c>
      <c r="Q47" s="7" t="n">
        <v>47509.56</v>
      </c>
      <c r="R47">
        <f>ABS(P47-Q47)</f>
        <v/>
      </c>
      <c r="S47" s="8">
        <f>IF(P47=0,"-",1-ABS(P47-Q47)/P47)</f>
        <v/>
      </c>
      <c r="T47">
        <f>IF((Q47-P46)&gt;=500,IF(ABS((P47-P46))&lt;500,"",IF((P47-P46)&lt;0,-ABS((P47-P46)/(Q47-P46)),MIN(1,ABS((P47-P46)/(Q47-P46))))),IF((Q47-P46)&lt;=-500,IF(ABS((P47-P46))&lt;500,"",IF((P47-P46)&gt;0,-ABS((P47-P46)/(Q47-P46)),MIN(1,ABS((P47-P46)/(Q47-P46))))),IF(ABS((P47-P46))&lt;500,1,MIN(1,500/ABS((P47-P46))))))</f>
        <v/>
      </c>
      <c r="U47">
        <f>IF(AND(ABS((P47-P46))&lt;500,ABS((Q47-P46))&lt;500),1,IF(AND(ABS((P47-P46))&lt;500,ABS((Q47-P46))&gt;=500),0,IF((P47-P46)*(Q47-P46)&gt;0,1,0)))</f>
        <v/>
      </c>
      <c r="W47" s="6" t="n">
        <v>43350</v>
      </c>
      <c r="X47" s="7" t="n">
        <v>43170.03</v>
      </c>
      <c r="Y47">
        <f>ABS(W47-X47)</f>
        <v/>
      </c>
      <c r="Z47" s="8">
        <f>IF(W47=0,"-",1-ABS(W47-X47)/W47)</f>
        <v/>
      </c>
      <c r="AA47">
        <f>IF((X47-W46)&gt;=500,IF(ABS((W47-W46))&lt;500,"",IF((W47-W46)&lt;0,-ABS((W47-W46)/(X47-W46)),MIN(1,ABS((W47-W46)/(X47-W46))))),IF((X47-W46)&lt;=-500,IF(ABS((W47-W46))&lt;500,"",IF((W47-W46)&gt;0,-ABS((W47-W46)/(X47-W46)),MIN(1,ABS((W47-W46)/(X47-W46))))),IF(ABS((W47-W46))&lt;500,1,MIN(1,500/ABS((W47-W46))))))</f>
        <v/>
      </c>
      <c r="AB47">
        <f>IF(AND(ABS((W47-W46))&lt;500,ABS((X47-W46))&lt;500),1,IF(AND(ABS((W47-W46))&lt;500,ABS((X47-W46))&gt;=500),0,IF((W47-W46)*(X47-W46)&gt;0,1,0)))</f>
        <v/>
      </c>
      <c r="AD47" s="6" t="n">
        <v>39050</v>
      </c>
      <c r="AE47" s="7" t="n">
        <v>39508.42</v>
      </c>
      <c r="AF47">
        <f>ABS(AD47-AE47)</f>
        <v/>
      </c>
      <c r="AG47" s="8">
        <f>IF(AD47=0,"-",1-ABS(AD47-AE47)/AD47)</f>
        <v/>
      </c>
      <c r="AH47">
        <f>IF((AE47-AD46)&gt;=500,IF(ABS((AD47-AD46))&lt;500,"",IF((AD47-AD46)&lt;0,-ABS((AD47-AD46)/(AE47-AD46)),MIN(1,ABS((AD47-AD46)/(AE47-AD46))))),IF((AE47-AD46)&lt;=-500,IF(ABS((AD47-AD46))&lt;500,"",IF((AD47-AD46)&gt;0,-ABS((AD47-AD46)/(AE47-AD46)),MIN(1,ABS((AD47-AD46)/(AE47-AD46))))),IF(ABS((AD47-AD46))&lt;500,1,MIN(1,500/ABS((AD47-AD46))))))</f>
        <v/>
      </c>
      <c r="AI47">
        <f>IF(AND(ABS((AD47-AD46))&lt;500,ABS((AE47-AD46))&lt;500),1,IF(AND(ABS((AD47-AD46))&lt;500,ABS((AE47-AD46))&gt;=500),0,IF((AD47-AD46)*(AE47-AD46)&gt;0,1,0)))</f>
        <v/>
      </c>
      <c r="AK47" s="6" t="n">
        <v>45516.67</v>
      </c>
      <c r="AL47" s="7" t="n">
        <v>44963.895</v>
      </c>
      <c r="AM47">
        <f>ABS(AK47-AL47)</f>
        <v/>
      </c>
      <c r="AN47" s="8">
        <f>IF(AK47=0,"-",1-ABS(AK47-AL47)/AK47)</f>
        <v/>
      </c>
      <c r="AO47">
        <f>IF((AL47-AK46)&gt;=500,IF(ABS((AK47-AK46))&lt;500,"",IF((AK47-AK46)&lt;0,-ABS((AK47-AK46)/(AL47-AK46)),MIN(1,ABS((AK47-AK46)/(AL47-AK46))))),IF((AL47-AK46)&lt;=-500,IF(ABS((AK47-AK46))&lt;500,"",IF((AK47-AK46)&gt;0,-ABS((AK47-AK46)/(AL47-AK46)),MIN(1,ABS((AK47-AK46)/(AL47-AK46))))),IF(ABS((AK47-AK46))&lt;500,1,MIN(1,500/ABS((AK47-AK46))))))</f>
        <v/>
      </c>
      <c r="AP47">
        <f>IF(AND(ABS((AK47-AK46))&lt;500,ABS((AL47-AK46))&lt;500),1,IF(AND(ABS((AK47-AK46))&lt;500,ABS((AL47-AK46))&gt;=500),0,IF((AK47-AK46)*(AL47-AK46)&gt;0,1,0)))</f>
        <v/>
      </c>
    </row>
    <row r="48">
      <c r="A48" s="5" t="n">
        <v>45872</v>
      </c>
      <c r="B48" s="6" t="n">
        <v>50000</v>
      </c>
      <c r="C48" s="7" t="n">
        <v>50283.31</v>
      </c>
      <c r="D48">
        <f>ABS(B48-C48)</f>
        <v/>
      </c>
      <c r="E48" s="8">
        <f>IF(B48=0,"-",1-ABS(B48-C48)/B48)</f>
        <v/>
      </c>
      <c r="F48">
        <f>IF((C48-B47)&gt;=500,IF(ABS((B48-B47))&lt;500,"",IF((B48-B47)&lt;0,-ABS((B48-B47)/(C48-B47)),MIN(1,ABS((B48-B47)/(C48-B47))))),IF((C48-B47)&lt;=-500,IF(ABS((B48-B47))&lt;500,"",IF((B48-B47)&gt;0,-ABS((B48-B47)/(C48-B47)),MIN(1,ABS((B48-B47)/(C48-B47))))),IF(ABS((B48-B47))&lt;500,1,MIN(1,500/ABS((B48-B47))))))</f>
        <v/>
      </c>
      <c r="G48">
        <f>IF(AND(ABS((B48-B47))&lt;500,ABS((C48-B47))&lt;500),1,IF(AND(ABS((B48-B47))&lt;500,ABS((C48-B47))&gt;=500),0,IF((B48-B47)*(C48-B47)&gt;0,1,0)))</f>
        <v/>
      </c>
      <c r="I48" s="6" t="n">
        <v>49200</v>
      </c>
      <c r="J48" s="7" t="n">
        <v>48630.98</v>
      </c>
      <c r="K48">
        <f>ABS(I48-J48)</f>
        <v/>
      </c>
      <c r="L48" s="8">
        <f>IF(I48=0,"-",1-ABS(I48-J48)/I48)</f>
        <v/>
      </c>
      <c r="M48">
        <f>IF((J48-I47)&gt;=500,IF(ABS((I48-I47))&lt;500,"",IF((I48-I47)&lt;0,-ABS((I48-I47)/(J48-I47)),MIN(1,ABS((I48-I47)/(J48-I47))))),IF((J48-I47)&lt;=-500,IF(ABS((I48-I47))&lt;500,"",IF((I48-I47)&gt;0,-ABS((I48-I47)/(J48-I47)),MIN(1,ABS((I48-I47)/(J48-I47))))),IF(ABS((I48-I47))&lt;500,1,MIN(1,500/ABS((I48-I47))))))</f>
        <v/>
      </c>
      <c r="N48">
        <f>IF(AND(ABS((I48-I47))&lt;500,ABS((J48-I47))&lt;500),1,IF(AND(ABS((I48-I47))&lt;500,ABS((J48-I47))&gt;=500),0,IF((I48-I47)*(J48-I47)&gt;0,1,0)))</f>
        <v/>
      </c>
      <c r="P48" s="6" t="n">
        <v>48800</v>
      </c>
      <c r="Q48" s="7" t="n">
        <v>48262.72</v>
      </c>
      <c r="R48">
        <f>ABS(P48-Q48)</f>
        <v/>
      </c>
      <c r="S48" s="8">
        <f>IF(P48=0,"-",1-ABS(P48-Q48)/P48)</f>
        <v/>
      </c>
      <c r="T48">
        <f>IF((Q48-P47)&gt;=500,IF(ABS((P48-P47))&lt;500,"",IF((P48-P47)&lt;0,-ABS((P48-P47)/(Q48-P47)),MIN(1,ABS((P48-P47)/(Q48-P47))))),IF((Q48-P47)&lt;=-500,IF(ABS((P48-P47))&lt;500,"",IF((P48-P47)&gt;0,-ABS((P48-P47)/(Q48-P47)),MIN(1,ABS((P48-P47)/(Q48-P47))))),IF(ABS((P48-P47))&lt;500,1,MIN(1,500/ABS((P48-P47))))))</f>
        <v/>
      </c>
      <c r="U48">
        <f>IF(AND(ABS((P48-P47))&lt;500,ABS((Q48-P47))&lt;500),1,IF(AND(ABS((P48-P47))&lt;500,ABS((Q48-P47))&gt;=500),0,IF((P48-P47)*(Q48-P47)&gt;0,1,0)))</f>
        <v/>
      </c>
      <c r="W48" s="6" t="n">
        <v>43416.67</v>
      </c>
      <c r="X48" s="7" t="n">
        <v>43119.535</v>
      </c>
      <c r="Y48">
        <f>ABS(W48-X48)</f>
        <v/>
      </c>
      <c r="Z48" s="8">
        <f>IF(W48=0,"-",1-ABS(W48-X48)/W48)</f>
        <v/>
      </c>
      <c r="AA48">
        <f>IF((X48-W47)&gt;=500,IF(ABS((W48-W47))&lt;500,"",IF((W48-W47)&lt;0,-ABS((W48-W47)/(X48-W47)),MIN(1,ABS((W48-W47)/(X48-W47))))),IF((X48-W47)&lt;=-500,IF(ABS((W48-W47))&lt;500,"",IF((W48-W47)&gt;0,-ABS((W48-W47)/(X48-W47)),MIN(1,ABS((W48-W47)/(X48-W47))))),IF(ABS((W48-W47))&lt;500,1,MIN(1,500/ABS((W48-W47))))))</f>
        <v/>
      </c>
      <c r="AB48">
        <f>IF(AND(ABS((W48-W47))&lt;500,ABS((X48-W47))&lt;500),1,IF(AND(ABS((W48-W47))&lt;500,ABS((X48-W47))&gt;=500),0,IF((W48-W47)*(X48-W47)&gt;0,1,0)))</f>
        <v/>
      </c>
      <c r="AD48" s="6" t="n">
        <v>40000</v>
      </c>
      <c r="AE48" s="7" t="n">
        <v>39088.562</v>
      </c>
      <c r="AF48">
        <f>ABS(AD48-AE48)</f>
        <v/>
      </c>
      <c r="AG48" s="8">
        <f>IF(AD48=0,"-",1-ABS(AD48-AE48)/AD48)</f>
        <v/>
      </c>
      <c r="AH48">
        <f>IF((AE48-AD47)&gt;=500,IF(ABS((AD48-AD47))&lt;500,"",IF((AD48-AD47)&lt;0,-ABS((AD48-AD47)/(AE48-AD47)),MIN(1,ABS((AD48-AD47)/(AE48-AD47))))),IF((AE48-AD47)&lt;=-500,IF(ABS((AD48-AD47))&lt;500,"",IF((AD48-AD47)&gt;0,-ABS((AD48-AD47)/(AE48-AD47)),MIN(1,ABS((AD48-AD47)/(AE48-AD47))))),IF(ABS((AD48-AD47))&lt;500,1,MIN(1,500/ABS((AD48-AD47))))))</f>
        <v/>
      </c>
      <c r="AI48">
        <f>IF(AND(ABS((AD48-AD47))&lt;500,ABS((AE48-AD47))&lt;500),1,IF(AND(ABS((AD48-AD47))&lt;500,ABS((AE48-AD47))&gt;=500),0,IF((AD48-AD47)*(AE48-AD47)&gt;0,1,0)))</f>
        <v/>
      </c>
      <c r="AK48" s="6" t="n">
        <v>45983.33</v>
      </c>
      <c r="AL48" s="7" t="n">
        <v>45575.77</v>
      </c>
      <c r="AM48">
        <f>ABS(AK48-AL48)</f>
        <v/>
      </c>
      <c r="AN48" s="8">
        <f>IF(AK48=0,"-",1-ABS(AK48-AL48)/AK48)</f>
        <v/>
      </c>
      <c r="AO48">
        <f>IF((AL48-AK47)&gt;=500,IF(ABS((AK48-AK47))&lt;500,"",IF((AK48-AK47)&lt;0,-ABS((AK48-AK47)/(AL48-AK47)),MIN(1,ABS((AK48-AK47)/(AL48-AK47))))),IF((AL48-AK47)&lt;=-500,IF(ABS((AK48-AK47))&lt;500,"",IF((AK48-AK47)&gt;0,-ABS((AK48-AK47)/(AL48-AK47)),MIN(1,ABS((AK48-AK47)/(AL48-AK47))))),IF(ABS((AK48-AK47))&lt;500,1,MIN(1,500/ABS((AK48-AK47))))))</f>
        <v/>
      </c>
      <c r="AP48">
        <f>IF(AND(ABS((AK48-AK47))&lt;500,ABS((AL48-AK47))&lt;500),1,IF(AND(ABS((AK48-AK47))&lt;500,ABS((AL48-AK47))&gt;=500),0,IF((AK48-AK47)*(AL48-AK47)&gt;0,1,0)))</f>
        <v/>
      </c>
    </row>
    <row r="49">
      <c r="A49" s="5" t="n">
        <v>45879</v>
      </c>
      <c r="B49" s="6" t="n">
        <v>50300</v>
      </c>
      <c r="C49" s="7" t="n">
        <v>50239.758</v>
      </c>
      <c r="D49">
        <f>ABS(B49-C49)</f>
        <v/>
      </c>
      <c r="E49" s="8">
        <f>IF(B49=0,"-",1-ABS(B49-C49)/B49)</f>
        <v/>
      </c>
      <c r="F49">
        <f>IF((C49-B48)&gt;=500,IF(ABS((B49-B48))&lt;500,"",IF((B49-B48)&lt;0,-ABS((B49-B48)/(C49-B48)),MIN(1,ABS((B49-B48)/(C49-B48))))),IF((C49-B48)&lt;=-500,IF(ABS((B49-B48))&lt;500,"",IF((B49-B48)&gt;0,-ABS((B49-B48)/(C49-B48)),MIN(1,ABS((B49-B48)/(C49-B48))))),IF(ABS((B49-B48))&lt;500,1,MIN(1,500/ABS((B49-B48))))))</f>
        <v/>
      </c>
      <c r="G49">
        <f>IF(AND(ABS((B49-B48))&lt;500,ABS((C49-B48))&lt;500),1,IF(AND(ABS((B49-B48))&lt;500,ABS((C49-B48))&gt;=500),0,IF((B49-B48)*(C49-B48)&gt;0,1,0)))</f>
        <v/>
      </c>
      <c r="I49" s="6" t="n">
        <v>50200</v>
      </c>
      <c r="J49" s="7" t="n">
        <v>49303.29</v>
      </c>
      <c r="K49">
        <f>ABS(I49-J49)</f>
        <v/>
      </c>
      <c r="L49" s="8">
        <f>IF(I49=0,"-",1-ABS(I49-J49)/I49)</f>
        <v/>
      </c>
      <c r="M49">
        <f>IF((J49-I48)&gt;=500,IF(ABS((I49-I48))&lt;500,"",IF((I49-I48)&lt;0,-ABS((I49-I48)/(J49-I48)),MIN(1,ABS((I49-I48)/(J49-I48))))),IF((J49-I48)&lt;=-500,IF(ABS((I49-I48))&lt;500,"",IF((I49-I48)&gt;0,-ABS((I49-I48)/(J49-I48)),MIN(1,ABS((I49-I48)/(J49-I48))))),IF(ABS((I49-I48))&lt;500,1,MIN(1,500/ABS((I49-I48))))))</f>
        <v/>
      </c>
      <c r="N49">
        <f>IF(AND(ABS((I49-I48))&lt;500,ABS((J49-I48))&lt;500),1,IF(AND(ABS((I49-I48))&lt;500,ABS((J49-I48))&gt;=500),0,IF((I49-I48)*(J49-I48)&gt;0,1,0)))</f>
        <v/>
      </c>
      <c r="P49" s="6" t="n">
        <v>48400</v>
      </c>
      <c r="Q49" s="7" t="n">
        <v>49225.574</v>
      </c>
      <c r="R49">
        <f>ABS(P49-Q49)</f>
        <v/>
      </c>
      <c r="S49" s="8">
        <f>IF(P49=0,"-",1-ABS(P49-Q49)/P49)</f>
        <v/>
      </c>
      <c r="T49">
        <f>IF((Q49-P48)&gt;=500,IF(ABS((P49-P48))&lt;500,"",IF((P49-P48)&lt;0,-ABS((P49-P48)/(Q49-P48)),MIN(1,ABS((P49-P48)/(Q49-P48))))),IF((Q49-P48)&lt;=-500,IF(ABS((P49-P48))&lt;500,"",IF((P49-P48)&gt;0,-ABS((P49-P48)/(Q49-P48)),MIN(1,ABS((P49-P48)/(Q49-P48))))),IF(ABS((P49-P48))&lt;500,1,MIN(1,500/ABS((P49-P48))))))</f>
        <v/>
      </c>
      <c r="U49">
        <f>IF(AND(ABS((P49-P48))&lt;500,ABS((Q49-P48))&lt;500),1,IF(AND(ABS((P49-P48))&lt;500,ABS((Q49-P48))&gt;=500),0,IF((P49-P48)*(Q49-P48)&gt;0,1,0)))</f>
        <v/>
      </c>
      <c r="W49" s="6" t="n">
        <v>44416.67</v>
      </c>
      <c r="X49" s="7" t="n">
        <v>43346.12</v>
      </c>
      <c r="Y49">
        <f>ABS(W49-X49)</f>
        <v/>
      </c>
      <c r="Z49" s="8">
        <f>IF(W49=0,"-",1-ABS(W49-X49)/W49)</f>
        <v/>
      </c>
      <c r="AA49">
        <f>IF((X49-W48)&gt;=500,IF(ABS((W49-W48))&lt;500,"",IF((W49-W48)&lt;0,-ABS((W49-W48)/(X49-W48)),MIN(1,ABS((W49-W48)/(X49-W48))))),IF((X49-W48)&lt;=-500,IF(ABS((W49-W48))&lt;500,"",IF((W49-W48)&gt;0,-ABS((W49-W48)/(X49-W48)),MIN(1,ABS((W49-W48)/(X49-W48))))),IF(ABS((W49-W48))&lt;500,1,MIN(1,500/ABS((W49-W48))))))</f>
        <v/>
      </c>
      <c r="AB49">
        <f>IF(AND(ABS((W49-W48))&lt;500,ABS((X49-W48))&lt;500),1,IF(AND(ABS((W49-W48))&lt;500,ABS((X49-W48))&gt;=500),0,IF((W49-W48)*(X49-W48)&gt;0,1,0)))</f>
        <v/>
      </c>
      <c r="AD49" s="6" t="n">
        <v>40100</v>
      </c>
      <c r="AE49" s="7" t="n">
        <v>40121.867</v>
      </c>
      <c r="AF49">
        <f>ABS(AD49-AE49)</f>
        <v/>
      </c>
      <c r="AG49" s="8">
        <f>IF(AD49=0,"-",1-ABS(AD49-AE49)/AD49)</f>
        <v/>
      </c>
      <c r="AH49">
        <f>IF((AE49-AD48)&gt;=500,IF(ABS((AD49-AD48))&lt;500,"",IF((AD49-AD48)&lt;0,-ABS((AD49-AD48)/(AE49-AD48)),MIN(1,ABS((AD49-AD48)/(AE49-AD48))))),IF((AE49-AD48)&lt;=-500,IF(ABS((AD49-AD48))&lt;500,"",IF((AD49-AD48)&gt;0,-ABS((AD49-AD48)/(AE49-AD48)),MIN(1,ABS((AD49-AD48)/(AE49-AD48))))),IF(ABS((AD49-AD48))&lt;500,1,MIN(1,500/ABS((AD49-AD48))))))</f>
        <v/>
      </c>
      <c r="AI49">
        <f>IF(AND(ABS((AD49-AD48))&lt;500,ABS((AE49-AD48))&lt;500),1,IF(AND(ABS((AD49-AD48))&lt;500,ABS((AE49-AD48))&gt;=500),0,IF((AD49-AD48)*(AE49-AD48)&gt;0,1,0)))</f>
        <v/>
      </c>
      <c r="AK49" s="6" t="n">
        <v>45980</v>
      </c>
      <c r="AL49" s="7" t="n">
        <v>45903.285</v>
      </c>
      <c r="AM49">
        <f>ABS(AK49-AL49)</f>
        <v/>
      </c>
      <c r="AN49" s="8">
        <f>IF(AK49=0,"-",1-ABS(AK49-AL49)/AK49)</f>
        <v/>
      </c>
      <c r="AO49">
        <f>IF((AL49-AK48)&gt;=500,IF(ABS((AK49-AK48))&lt;500,"",IF((AK49-AK48)&lt;0,-ABS((AK49-AK48)/(AL49-AK48)),MIN(1,ABS((AK49-AK48)/(AL49-AK48))))),IF((AL49-AK48)&lt;=-500,IF(ABS((AK49-AK48))&lt;500,"",IF((AK49-AK48)&gt;0,-ABS((AK49-AK48)/(AL49-AK48)),MIN(1,ABS((AK49-AK48)/(AL49-AK48))))),IF(ABS((AK49-AK48))&lt;500,1,MIN(1,500/ABS((AK49-AK48))))))</f>
        <v/>
      </c>
      <c r="AP49">
        <f>IF(AND(ABS((AK49-AK48))&lt;500,ABS((AL49-AK48))&lt;500),1,IF(AND(ABS((AK49-AK48))&lt;500,ABS((AL49-AK48))&gt;=500),0,IF((AK49-AK48)*(AL49-AK48)&gt;0,1,0)))</f>
        <v/>
      </c>
    </row>
    <row r="50">
      <c r="A50" s="5" t="n">
        <v>45886</v>
      </c>
      <c r="B50" s="6" t="n">
        <v>50500</v>
      </c>
      <c r="C50" s="7" t="n">
        <v>50514.42</v>
      </c>
      <c r="D50">
        <f>ABS(B50-C50)</f>
        <v/>
      </c>
      <c r="E50" s="8">
        <f>IF(B50=0,"-",1-ABS(B50-C50)/B50)</f>
        <v/>
      </c>
      <c r="F50">
        <f>IF((C50-B49)&gt;=500,IF(ABS((B50-B49))&lt;500,"",IF((B50-B49)&lt;0,-ABS((B50-B49)/(C50-B49)),MIN(1,ABS((B50-B49)/(C50-B49))))),IF((C50-B49)&lt;=-500,IF(ABS((B50-B49))&lt;500,"",IF((B50-B49)&gt;0,-ABS((B50-B49)/(C50-B49)),MIN(1,ABS((B50-B49)/(C50-B49))))),IF(ABS((B50-B49))&lt;500,1,MIN(1,500/ABS((B50-B49))))))</f>
        <v/>
      </c>
      <c r="G50">
        <f>IF(AND(ABS((B50-B49))&lt;500,ABS((C50-B49))&lt;500),1,IF(AND(ABS((B50-B49))&lt;500,ABS((C50-B49))&gt;=500),0,IF((B50-B49)*(C50-B49)&gt;0,1,0)))</f>
        <v/>
      </c>
      <c r="I50" s="6" t="n">
        <v>50000</v>
      </c>
      <c r="J50" s="7" t="n">
        <v>50359.86</v>
      </c>
      <c r="K50">
        <f>ABS(I50-J50)</f>
        <v/>
      </c>
      <c r="L50" s="8">
        <f>IF(I50=0,"-",1-ABS(I50-J50)/I50)</f>
        <v/>
      </c>
      <c r="M50">
        <f>IF((J50-I49)&gt;=500,IF(ABS((I50-I49))&lt;500,"",IF((I50-I49)&lt;0,-ABS((I50-I49)/(J50-I49)),MIN(1,ABS((I50-I49)/(J50-I49))))),IF((J50-I49)&lt;=-500,IF(ABS((I50-I49))&lt;500,"",IF((I50-I49)&gt;0,-ABS((I50-I49)/(J50-I49)),MIN(1,ABS((I50-I49)/(J50-I49))))),IF(ABS((I50-I49))&lt;500,1,MIN(1,500/ABS((I50-I49))))))</f>
        <v/>
      </c>
      <c r="N50">
        <f>IF(AND(ABS((I50-I49))&lt;500,ABS((J50-I49))&lt;500),1,IF(AND(ABS((I50-I49))&lt;500,ABS((J50-I49))&gt;=500),0,IF((I50-I49)*(J50-I49)&gt;0,1,0)))</f>
        <v/>
      </c>
      <c r="P50" s="6" t="n">
        <v>47900</v>
      </c>
      <c r="Q50" s="7" t="n">
        <v>48941.4</v>
      </c>
      <c r="R50">
        <f>ABS(P50-Q50)</f>
        <v/>
      </c>
      <c r="S50" s="8">
        <f>IF(P50=0,"-",1-ABS(P50-Q50)/P50)</f>
        <v/>
      </c>
      <c r="T50">
        <f>IF((Q50-P49)&gt;=500,IF(ABS((P50-P49))&lt;500,"",IF((P50-P49)&lt;0,-ABS((P50-P49)/(Q50-P49)),MIN(1,ABS((P50-P49)/(Q50-P49))))),IF((Q50-P49)&lt;=-500,IF(ABS((P50-P49))&lt;500,"",IF((P50-P49)&gt;0,-ABS((P50-P49)/(Q50-P49)),MIN(1,ABS((P50-P49)/(Q50-P49))))),IF(ABS((P50-P49))&lt;500,1,MIN(1,500/ABS((P50-P49))))))</f>
        <v/>
      </c>
      <c r="U50">
        <f>IF(AND(ABS((P50-P49))&lt;500,ABS((Q50-P49))&lt;500),1,IF(AND(ABS((P50-P49))&lt;500,ABS((Q50-P49))&gt;=500),0,IF((P50-P49)*(Q50-P49)&gt;0,1,0)))</f>
        <v/>
      </c>
      <c r="W50" s="6" t="n">
        <v>45660</v>
      </c>
      <c r="X50" s="7" t="n">
        <v>44407.066</v>
      </c>
      <c r="Y50">
        <f>ABS(W50-X50)</f>
        <v/>
      </c>
      <c r="Z50" s="8">
        <f>IF(W50=0,"-",1-ABS(W50-X50)/W50)</f>
        <v/>
      </c>
      <c r="AA50">
        <f>IF((X50-W49)&gt;=500,IF(ABS((W50-W49))&lt;500,"",IF((W50-W49)&lt;0,-ABS((W50-W49)/(X50-W49)),MIN(1,ABS((W50-W49)/(X50-W49))))),IF((X50-W49)&lt;=-500,IF(ABS((W50-W49))&lt;500,"",IF((W50-W49)&gt;0,-ABS((W50-W49)/(X50-W49)),MIN(1,ABS((W50-W49)/(X50-W49))))),IF(ABS((W50-W49))&lt;500,1,MIN(1,500/ABS((W50-W49))))))</f>
        <v/>
      </c>
      <c r="AB50">
        <f>IF(AND(ABS((W50-W49))&lt;500,ABS((X50-W49))&lt;500),1,IF(AND(ABS((W50-W49))&lt;500,ABS((X50-W49))&gt;=500),0,IF((W50-W49)*(X50-W49)&gt;0,1,0)))</f>
        <v/>
      </c>
      <c r="AD50" s="6" t="n">
        <v>39940</v>
      </c>
      <c r="AE50" s="7" t="n">
        <v>40298.156</v>
      </c>
      <c r="AF50">
        <f>ABS(AD50-AE50)</f>
        <v/>
      </c>
      <c r="AG50" s="8">
        <f>IF(AD50=0,"-",1-ABS(AD50-AE50)/AD50)</f>
        <v/>
      </c>
      <c r="AH50">
        <f>IF((AE50-AD49)&gt;=500,IF(ABS((AD50-AD49))&lt;500,"",IF((AD50-AD49)&lt;0,-ABS((AD50-AD49)/(AE50-AD49)),MIN(1,ABS((AD50-AD49)/(AE50-AD49))))),IF((AE50-AD49)&lt;=-500,IF(ABS((AD50-AD49))&lt;500,"",IF((AD50-AD49)&gt;0,-ABS((AD50-AD49)/(AE50-AD49)),MIN(1,ABS((AD50-AD49)/(AE50-AD49))))),IF(ABS((AD50-AD49))&lt;500,1,MIN(1,500/ABS((AD50-AD49))))))</f>
        <v/>
      </c>
      <c r="AI50">
        <f>IF(AND(ABS((AD50-AD49))&lt;500,ABS((AE50-AD49))&lt;500),1,IF(AND(ABS((AD50-AD49))&lt;500,ABS((AE50-AD49))&gt;=500),0,IF((AD50-AD49)*(AE50-AD49)&gt;0,1,0)))</f>
        <v/>
      </c>
      <c r="AK50" s="6" t="n">
        <v>45875</v>
      </c>
      <c r="AL50" s="7" t="n">
        <v>45740.97</v>
      </c>
      <c r="AM50">
        <f>ABS(AK50-AL50)</f>
        <v/>
      </c>
      <c r="AN50" s="8">
        <f>IF(AK50=0,"-",1-ABS(AK50-AL50)/AK50)</f>
        <v/>
      </c>
      <c r="AO50">
        <f>IF((AL50-AK49)&gt;=500,IF(ABS((AK50-AK49))&lt;500,"",IF((AK50-AK49)&lt;0,-ABS((AK50-AK49)/(AL50-AK49)),MIN(1,ABS((AK50-AK49)/(AL50-AK49))))),IF((AL50-AK49)&lt;=-500,IF(ABS((AK50-AK49))&lt;500,"",IF((AK50-AK49)&gt;0,-ABS((AK50-AK49)/(AL50-AK49)),MIN(1,ABS((AK50-AK49)/(AL50-AK49))))),IF(ABS((AK50-AK49))&lt;500,1,MIN(1,500/ABS((AK50-AK49))))))</f>
        <v/>
      </c>
      <c r="AP50">
        <f>IF(AND(ABS((AK50-AK49))&lt;500,ABS((AL50-AK49))&lt;500),1,IF(AND(ABS((AK50-AK49))&lt;500,ABS((AL50-AK49))&gt;=500),0,IF((AK50-AK49)*(AL50-AK49)&gt;0,1,0)))</f>
        <v/>
      </c>
    </row>
    <row r="51">
      <c r="A51" s="5" t="n">
        <v>45893</v>
      </c>
      <c r="B51" s="6" t="n">
        <v>50500</v>
      </c>
      <c r="C51" s="7" t="n">
        <v>50602.746</v>
      </c>
      <c r="D51">
        <f>ABS(B51-C51)</f>
        <v/>
      </c>
      <c r="E51" s="8">
        <f>IF(B51=0,"-",1-ABS(B51-C51)/B51)</f>
        <v/>
      </c>
      <c r="F51">
        <f>IF((C51-B50)&gt;=500,IF(ABS((B51-B50))&lt;500,"",IF((B51-B50)&lt;0,-ABS((B51-B50)/(C51-B50)),MIN(1,ABS((B51-B50)/(C51-B50))))),IF((C51-B50)&lt;=-500,IF(ABS((B51-B50))&lt;500,"",IF((B51-B50)&gt;0,-ABS((B51-B50)/(C51-B50)),MIN(1,ABS((B51-B50)/(C51-B50))))),IF(ABS((B51-B50))&lt;500,1,MIN(1,500/ABS((B51-B50))))))</f>
        <v/>
      </c>
      <c r="G51">
        <f>IF(AND(ABS((B51-B50))&lt;500,ABS((C51-B50))&lt;500),1,IF(AND(ABS((B51-B50))&lt;500,ABS((C51-B50))&gt;=500),0,IF((B51-B50)*(C51-B50)&gt;0,1,0)))</f>
        <v/>
      </c>
      <c r="I51" s="6" t="n">
        <v>49875</v>
      </c>
      <c r="J51" s="7" t="n">
        <v>49880.504</v>
      </c>
      <c r="K51">
        <f>ABS(I51-J51)</f>
        <v/>
      </c>
      <c r="L51" s="8">
        <f>IF(I51=0,"-",1-ABS(I51-J51)/I51)</f>
        <v/>
      </c>
      <c r="M51">
        <f>IF((J51-I50)&gt;=500,IF(ABS((I51-I50))&lt;500,"",IF((I51-I50)&lt;0,-ABS((I51-I50)/(J51-I50)),MIN(1,ABS((I51-I50)/(J51-I50))))),IF((J51-I50)&lt;=-500,IF(ABS((I51-I50))&lt;500,"",IF((I51-I50)&gt;0,-ABS((I51-I50)/(J51-I50)),MIN(1,ABS((I51-I50)/(J51-I50))))),IF(ABS((I51-I50))&lt;500,1,MIN(1,500/ABS((I51-I50))))))</f>
        <v/>
      </c>
      <c r="N51">
        <f>IF(AND(ABS((I51-I50))&lt;500,ABS((J51-I50))&lt;500),1,IF(AND(ABS((I51-I50))&lt;500,ABS((J51-I50))&gt;=500),0,IF((I51-I50)*(J51-I50)&gt;0,1,0)))</f>
        <v/>
      </c>
      <c r="P51" s="6" t="n">
        <v>47300</v>
      </c>
      <c r="Q51" s="7" t="n">
        <v>48488.242</v>
      </c>
      <c r="R51">
        <f>ABS(P51-Q51)</f>
        <v/>
      </c>
      <c r="S51" s="8">
        <f>IF(P51=0,"-",1-ABS(P51-Q51)/P51)</f>
        <v/>
      </c>
      <c r="T51">
        <f>IF((Q51-P50)&gt;=500,IF(ABS((P51-P50))&lt;500,"",IF((P51-P50)&lt;0,-ABS((P51-P50)/(Q51-P50)),MIN(1,ABS((P51-P50)/(Q51-P50))))),IF((Q51-P50)&lt;=-500,IF(ABS((P51-P50))&lt;500,"",IF((P51-P50)&gt;0,-ABS((P51-P50)/(Q51-P50)),MIN(1,ABS((P51-P50)/(Q51-P50))))),IF(ABS((P51-P50))&lt;500,1,MIN(1,500/ABS((P51-P50))))))</f>
        <v/>
      </c>
      <c r="U51">
        <f>IF(AND(ABS((P51-P50))&lt;500,ABS((Q51-P50))&lt;500),1,IF(AND(ABS((P51-P50))&lt;500,ABS((Q51-P50))&gt;=500),0,IF((P51-P50)*(Q51-P50)&gt;0,1,0)))</f>
        <v/>
      </c>
      <c r="W51" s="6" t="n">
        <v>45850</v>
      </c>
      <c r="X51" s="7" t="n">
        <v>45629.08</v>
      </c>
      <c r="Y51">
        <f>ABS(W51-X51)</f>
        <v/>
      </c>
      <c r="Z51" s="8">
        <f>IF(W51=0,"-",1-ABS(W51-X51)/W51)</f>
        <v/>
      </c>
      <c r="AA51">
        <f>IF((X51-W50)&gt;=500,IF(ABS((W51-W50))&lt;500,"",IF((W51-W50)&lt;0,-ABS((W51-W50)/(X51-W50)),MIN(1,ABS((W51-W50)/(X51-W50))))),IF((X51-W50)&lt;=-500,IF(ABS((W51-W50))&lt;500,"",IF((W51-W50)&gt;0,-ABS((W51-W50)/(X51-W50)),MIN(1,ABS((W51-W50)/(X51-W50))))),IF(ABS((W51-W50))&lt;500,1,MIN(1,500/ABS((W51-W50))))))</f>
        <v/>
      </c>
      <c r="AB51">
        <f>IF(AND(ABS((W51-W50))&lt;500,ABS((X51-W50))&lt;500),1,IF(AND(ABS((W51-W50))&lt;500,ABS((X51-W50))&gt;=500),0,IF((W51-W50)*(X51-W50)&gt;0,1,0)))</f>
        <v/>
      </c>
      <c r="AD51" s="6" t="n">
        <v>39825</v>
      </c>
      <c r="AE51" s="7" t="n">
        <v>39932.6</v>
      </c>
      <c r="AF51">
        <f>ABS(AD51-AE51)</f>
        <v/>
      </c>
      <c r="AG51" s="8">
        <f>IF(AD51=0,"-",1-ABS(AD51-AE51)/AD51)</f>
        <v/>
      </c>
      <c r="AH51">
        <f>IF((AE51-AD50)&gt;=500,IF(ABS((AD51-AD50))&lt;500,"",IF((AD51-AD50)&lt;0,-ABS((AD51-AD50)/(AE51-AD50)),MIN(1,ABS((AD51-AD50)/(AE51-AD50))))),IF((AE51-AD50)&lt;=-500,IF(ABS((AD51-AD50))&lt;500,"",IF((AD51-AD50)&gt;0,-ABS((AD51-AD50)/(AE51-AD50)),MIN(1,ABS((AD51-AD50)/(AE51-AD50))))),IF(ABS((AD51-AD50))&lt;500,1,MIN(1,500/ABS((AD51-AD50))))))</f>
        <v/>
      </c>
      <c r="AI51">
        <f>IF(AND(ABS((AD51-AD50))&lt;500,ABS((AE51-AD50))&lt;500),1,IF(AND(ABS((AD51-AD50))&lt;500,ABS((AE51-AD50))&gt;=500),0,IF((AD51-AD50)*(AE51-AD50)&gt;0,1,0)))</f>
        <v/>
      </c>
      <c r="AK51" s="6" t="n">
        <v>45850</v>
      </c>
      <c r="AL51" s="7" t="n">
        <v>45566.29</v>
      </c>
      <c r="AM51">
        <f>ABS(AK51-AL51)</f>
        <v/>
      </c>
      <c r="AN51" s="8">
        <f>IF(AK51=0,"-",1-ABS(AK51-AL51)/AK51)</f>
        <v/>
      </c>
      <c r="AO51">
        <f>IF((AL51-AK50)&gt;=500,IF(ABS((AK51-AK50))&lt;500,"",IF((AK51-AK50)&lt;0,-ABS((AK51-AK50)/(AL51-AK50)),MIN(1,ABS((AK51-AK50)/(AL51-AK50))))),IF((AL51-AK50)&lt;=-500,IF(ABS((AK51-AK50))&lt;500,"",IF((AK51-AK50)&gt;0,-ABS((AK51-AK50)/(AL51-AK50)),MIN(1,ABS((AK51-AK50)/(AL51-AK50))))),IF(ABS((AK51-AK50))&lt;500,1,MIN(1,500/ABS((AK51-AK50))))))</f>
        <v/>
      </c>
      <c r="AP51">
        <f>IF(AND(ABS((AK51-AK50))&lt;500,ABS((AL51-AK50))&lt;500),1,IF(AND(ABS((AK51-AK50))&lt;500,ABS((AL51-AK50))&gt;=500),0,IF((AK51-AK50)*(AL51-AK50)&gt;0,1,0)))</f>
        <v/>
      </c>
    </row>
    <row r="52">
      <c r="A52" s="5" t="n">
        <v>45900</v>
      </c>
      <c r="B52" s="6" t="n">
        <v>50700</v>
      </c>
      <c r="C52" s="7" t="n">
        <v>50524.9</v>
      </c>
      <c r="D52">
        <f>ABS(B52-C52)</f>
        <v/>
      </c>
      <c r="E52" s="8">
        <f>IF(B52=0,"-",1-ABS(B52-C52)/B52)</f>
        <v/>
      </c>
      <c r="F52">
        <f>IF((C52-B51)&gt;=500,IF(ABS((B52-B51))&lt;500,"",IF((B52-B51)&lt;0,-ABS((B52-B51)/(C52-B51)),MIN(1,ABS((B52-B51)/(C52-B51))))),IF((C52-B51)&lt;=-500,IF(ABS((B52-B51))&lt;500,"",IF((B52-B51)&gt;0,-ABS((B52-B51)/(C52-B51)),MIN(1,ABS((B52-B51)/(C52-B51))))),IF(ABS((B52-B51))&lt;500,1,MIN(1,500/ABS((B52-B51))))))</f>
        <v/>
      </c>
      <c r="G52">
        <f>IF(AND(ABS((B52-B51))&lt;500,ABS((C52-B51))&lt;500),1,IF(AND(ABS((B52-B51))&lt;500,ABS((C52-B51))&gt;=500),0,IF((B52-B51)*(C52-B51)&gt;0,1,0)))</f>
        <v/>
      </c>
      <c r="H52" s="9">
        <f>COUNTIF(G52:G63,1)&amp;"/"&amp;COUNT(G52:G63)</f>
        <v/>
      </c>
      <c r="I52" s="6" t="n">
        <v>49600</v>
      </c>
      <c r="J52" s="7" t="n">
        <v>49861.582</v>
      </c>
      <c r="K52">
        <f>ABS(I52-J52)</f>
        <v/>
      </c>
      <c r="L52" s="8">
        <f>IF(I52=0,"-",1-ABS(I52-J52)/I52)</f>
        <v/>
      </c>
      <c r="M52">
        <f>IF((J52-I51)&gt;=500,IF(ABS((I52-I51))&lt;500,"",IF((I52-I51)&lt;0,-ABS((I52-I51)/(J52-I51)),MIN(1,ABS((I52-I51)/(J52-I51))))),IF((J52-I51)&lt;=-500,IF(ABS((I52-I51))&lt;500,"",IF((I52-I51)&gt;0,-ABS((I52-I51)/(J52-I51)),MIN(1,ABS((I52-I51)/(J52-I51))))),IF(ABS((I52-I51))&lt;500,1,MIN(1,500/ABS((I52-I51))))))</f>
        <v/>
      </c>
      <c r="N52">
        <f>IF(AND(ABS((I52-I51))&lt;500,ABS((J52-I51))&lt;500),1,IF(AND(ABS((I52-I51))&lt;500,ABS((J52-I51))&gt;=500),0,IF((I52-I51)*(J52-I51)&gt;0,1,0)))</f>
        <v/>
      </c>
      <c r="O52" s="9">
        <f>COUNTIF(N52:N63,1)&amp;"/"&amp;COUNT(N52:N63)</f>
        <v/>
      </c>
      <c r="P52" s="6" t="n">
        <v>47300</v>
      </c>
      <c r="Q52" s="7" t="n">
        <v>47795.992</v>
      </c>
      <c r="R52">
        <f>ABS(P52-Q52)</f>
        <v/>
      </c>
      <c r="S52" s="8">
        <f>IF(P52=0,"-",1-ABS(P52-Q52)/P52)</f>
        <v/>
      </c>
      <c r="T52">
        <f>IF((Q52-P51)&gt;=500,IF(ABS((P52-P51))&lt;500,"",IF((P52-P51)&lt;0,-ABS((P52-P51)/(Q52-P51)),MIN(1,ABS((P52-P51)/(Q52-P51))))),IF((Q52-P51)&lt;=-500,IF(ABS((P52-P51))&lt;500,"",IF((P52-P51)&gt;0,-ABS((P52-P51)/(Q52-P51)),MIN(1,ABS((P52-P51)/(Q52-P51))))),IF(ABS((P52-P51))&lt;500,1,MIN(1,500/ABS((P52-P51))))))</f>
        <v/>
      </c>
      <c r="U52">
        <f>IF(AND(ABS((P52-P51))&lt;500,ABS((Q52-P51))&lt;500),1,IF(AND(ABS((P52-P51))&lt;500,ABS((Q52-P51))&gt;=500),0,IF((P52-P51)*(Q52-P51)&gt;0,1,0)))</f>
        <v/>
      </c>
      <c r="V52" s="9">
        <f>COUNTIF(U52:U63,1)&amp;"/"&amp;COUNT(U52:U63)</f>
        <v/>
      </c>
      <c r="W52" s="6" t="n">
        <v>45666.67</v>
      </c>
      <c r="X52" s="7" t="n">
        <v>45637.812</v>
      </c>
      <c r="Y52">
        <f>ABS(W52-X52)</f>
        <v/>
      </c>
      <c r="Z52" s="8">
        <f>IF(W52=0,"-",1-ABS(W52-X52)/W52)</f>
        <v/>
      </c>
      <c r="AA52">
        <f>IF((X52-W51)&gt;=500,IF(ABS((W52-W51))&lt;500,"",IF((W52-W51)&lt;0,-ABS((W52-W51)/(X52-W51)),MIN(1,ABS((W52-W51)/(X52-W51))))),IF((X52-W51)&lt;=-500,IF(ABS((W52-W51))&lt;500,"",IF((W52-W51)&gt;0,-ABS((W52-W51)/(X52-W51)),MIN(1,ABS((W52-W51)/(X52-W51))))),IF(ABS((W52-W51))&lt;500,1,MIN(1,500/ABS((W52-W51))))))</f>
        <v/>
      </c>
      <c r="AB52">
        <f>IF(AND(ABS((W52-W51))&lt;500,ABS((X52-W51))&lt;500),1,IF(AND(ABS((W52-W51))&lt;500,ABS((X52-W51))&gt;=500),0,IF((W52-W51)*(X52-W51)&gt;0,1,0)))</f>
        <v/>
      </c>
      <c r="AC52" s="9">
        <f>COUNTIF(AB52:AB63,1)&amp;"/"&amp;COUNT(AB52:AB63)</f>
        <v/>
      </c>
      <c r="AD52" s="6" t="n">
        <v>40100</v>
      </c>
      <c r="AE52" s="7" t="n">
        <v>39751.957</v>
      </c>
      <c r="AF52">
        <f>ABS(AD52-AE52)</f>
        <v/>
      </c>
      <c r="AG52" s="8">
        <f>IF(AD52=0,"-",1-ABS(AD52-AE52)/AD52)</f>
        <v/>
      </c>
      <c r="AH52">
        <f>IF((AE52-AD51)&gt;=500,IF(ABS((AD52-AD51))&lt;500,"",IF((AD52-AD51)&lt;0,-ABS((AD52-AD51)/(AE52-AD51)),MIN(1,ABS((AD52-AD51)/(AE52-AD51))))),IF((AE52-AD51)&lt;=-500,IF(ABS((AD52-AD51))&lt;500,"",IF((AD52-AD51)&gt;0,-ABS((AD52-AD51)/(AE52-AD51)),MIN(1,ABS((AD52-AD51)/(AE52-AD51))))),IF(ABS((AD52-AD51))&lt;500,1,MIN(1,500/ABS((AD52-AD51))))))</f>
        <v/>
      </c>
      <c r="AI52">
        <f>IF(AND(ABS((AD52-AD51))&lt;500,ABS((AE52-AD51))&lt;500),1,IF(AND(ABS((AD52-AD51))&lt;500,ABS((AE52-AD51))&gt;=500),0,IF((AD52-AD51)*(AE52-AD51)&gt;0,1,0)))</f>
        <v/>
      </c>
      <c r="AJ52" s="9">
        <f>COUNTIF(AI52:AI63,1)&amp;"/"&amp;COUNT(AI52:AI63)</f>
        <v/>
      </c>
      <c r="AK52" s="6" t="n">
        <v>45283.33</v>
      </c>
      <c r="AL52" s="7" t="n">
        <v>45409.242</v>
      </c>
      <c r="AM52">
        <f>ABS(AK52-AL52)</f>
        <v/>
      </c>
      <c r="AN52" s="8">
        <f>IF(AK52=0,"-",1-ABS(AK52-AL52)/AK52)</f>
        <v/>
      </c>
      <c r="AO52">
        <f>IF((AL52-AK51)&gt;=500,IF(ABS((AK52-AK51))&lt;500,"",IF((AK52-AK51)&lt;0,-ABS((AK52-AK51)/(AL52-AK51)),MIN(1,ABS((AK52-AK51)/(AL52-AK51))))),IF((AL52-AK51)&lt;=-500,IF(ABS((AK52-AK51))&lt;500,"",IF((AK52-AK51)&gt;0,-ABS((AK52-AK51)/(AL52-AK51)),MIN(1,ABS((AK52-AK51)/(AL52-AK51))))),IF(ABS((AK52-AK51))&lt;500,1,MIN(1,500/ABS((AK52-AK51))))))</f>
        <v/>
      </c>
      <c r="AP52">
        <f>IF(AND(ABS((AK52-AK51))&lt;500,ABS((AL52-AK51))&lt;500),1,IF(AND(ABS((AK52-AK51))&lt;500,ABS((AL52-AK51))&gt;=500),0,IF((AK52-AK51)*(AL52-AK51)&gt;0,1,0)))</f>
        <v/>
      </c>
      <c r="AQ52" s="9">
        <f>COUNTIF(AP52:AP63,1)&amp;"/"&amp;COUNT(AP52:AP63)</f>
        <v/>
      </c>
    </row>
    <row r="53">
      <c r="A53" s="5" t="n">
        <v>45907</v>
      </c>
      <c r="B53" s="6" t="n">
        <v>50800</v>
      </c>
      <c r="C53" s="7" t="n">
        <v>50868.977</v>
      </c>
      <c r="D53">
        <f>ABS(B53-C53)</f>
        <v/>
      </c>
      <c r="E53" s="8">
        <f>IF(B53=0,"-",1-ABS(B53-C53)/B53)</f>
        <v/>
      </c>
      <c r="F53">
        <f>IF((C53-B52)&gt;=500,IF(ABS((B53-B52))&lt;500,"",IF((B53-B52)&lt;0,-ABS((B53-B52)/(C53-B52)),MIN(1,ABS((B53-B52)/(C53-B52))))),IF((C53-B52)&lt;=-500,IF(ABS((B53-B52))&lt;500,"",IF((B53-B52)&gt;0,-ABS((B53-B52)/(C53-B52)),MIN(1,ABS((B53-B52)/(C53-B52))))),IF(ABS((B53-B52))&lt;500,1,MIN(1,500/ABS((B53-B52))))))</f>
        <v/>
      </c>
      <c r="G53">
        <f>IF(AND(ABS((B53-B52))&lt;500,ABS((C53-B52))&lt;500),1,IF(AND(ABS((B53-B52))&lt;500,ABS((C53-B52))&gt;=500),0,IF((B53-B52)*(C53-B52)&gt;0,1,0)))</f>
        <v/>
      </c>
      <c r="I53" s="6" t="n">
        <v>49500</v>
      </c>
      <c r="J53" s="7" t="n">
        <v>49607.055</v>
      </c>
      <c r="K53">
        <f>ABS(I53-J53)</f>
        <v/>
      </c>
      <c r="L53" s="8">
        <f>IF(I53=0,"-",1-ABS(I53-J53)/I53)</f>
        <v/>
      </c>
      <c r="M53">
        <f>IF((J53-I52)&gt;=500,IF(ABS((I53-I52))&lt;500,"",IF((I53-I52)&lt;0,-ABS((I53-I52)/(J53-I52)),MIN(1,ABS((I53-I52)/(J53-I52))))),IF((J53-I52)&lt;=-500,IF(ABS((I53-I52))&lt;500,"",IF((I53-I52)&gt;0,-ABS((I53-I52)/(J53-I52)),MIN(1,ABS((I53-I52)/(J53-I52))))),IF(ABS((I53-I52))&lt;500,1,MIN(1,500/ABS((I53-I52))))))</f>
        <v/>
      </c>
      <c r="N53">
        <f>IF(AND(ABS((I53-I52))&lt;500,ABS((J53-I52))&lt;500),1,IF(AND(ABS((I53-I52))&lt;500,ABS((J53-I52))&gt;=500),0,IF((I53-I52)*(J53-I52)&gt;0,1,0)))</f>
        <v/>
      </c>
      <c r="P53" s="6" t="n">
        <v>47200</v>
      </c>
      <c r="Q53" s="7" t="n">
        <v>47746.36</v>
      </c>
      <c r="R53">
        <f>ABS(P53-Q53)</f>
        <v/>
      </c>
      <c r="S53" s="8">
        <f>IF(P53=0,"-",1-ABS(P53-Q53)/P53)</f>
        <v/>
      </c>
      <c r="T53">
        <f>IF((Q53-P52)&gt;=500,IF(ABS((P53-P52))&lt;500,"",IF((P53-P52)&lt;0,-ABS((P53-P52)/(Q53-P52)),MIN(1,ABS((P53-P52)/(Q53-P52))))),IF((Q53-P52)&lt;=-500,IF(ABS((P53-P52))&lt;500,"",IF((P53-P52)&gt;0,-ABS((P53-P52)/(Q53-P52)),MIN(1,ABS((P53-P52)/(Q53-P52))))),IF(ABS((P53-P52))&lt;500,1,MIN(1,500/ABS((P53-P52))))))</f>
        <v/>
      </c>
      <c r="U53">
        <f>IF(AND(ABS((P53-P52))&lt;500,ABS((Q53-P52))&lt;500),1,IF(AND(ABS((P53-P52))&lt;500,ABS((Q53-P52))&gt;=500),0,IF((P53-P52)*(Q53-P52)&gt;0,1,0)))</f>
        <v/>
      </c>
      <c r="W53" s="6" t="n">
        <v>44820</v>
      </c>
      <c r="X53" s="7" t="n">
        <v>45366.95</v>
      </c>
      <c r="Y53">
        <f>ABS(W53-X53)</f>
        <v/>
      </c>
      <c r="Z53" s="8">
        <f>IF(W53=0,"-",1-ABS(W53-X53)/W53)</f>
        <v/>
      </c>
      <c r="AA53">
        <f>IF((X53-W52)&gt;=500,IF(ABS((W53-W52))&lt;500,"",IF((W53-W52)&lt;0,-ABS((W53-W52)/(X53-W52)),MIN(1,ABS((W53-W52)/(X53-W52))))),IF((X53-W52)&lt;=-500,IF(ABS((W53-W52))&lt;500,"",IF((W53-W52)&gt;0,-ABS((W53-W52)/(X53-W52)),MIN(1,ABS((W53-W52)/(X53-W52))))),IF(ABS((W53-W52))&lt;500,1,MIN(1,500/ABS((W53-W52))))))</f>
        <v/>
      </c>
      <c r="AB53">
        <f>IF(AND(ABS((W53-W52))&lt;500,ABS((X53-W52))&lt;500),1,IF(AND(ABS((W53-W52))&lt;500,ABS((X53-W52))&gt;=500),0,IF((W53-W52)*(X53-W52)&gt;0,1,0)))</f>
        <v/>
      </c>
      <c r="AD53" s="6" t="n">
        <v>39500</v>
      </c>
      <c r="AE53" s="7" t="n">
        <v>39978.793</v>
      </c>
      <c r="AF53">
        <f>ABS(AD53-AE53)</f>
        <v/>
      </c>
      <c r="AG53" s="8">
        <f>IF(AD53=0,"-",1-ABS(AD53-AE53)/AD53)</f>
        <v/>
      </c>
      <c r="AH53">
        <f>IF((AE53-AD52)&gt;=500,IF(ABS((AD53-AD52))&lt;500,"",IF((AD53-AD52)&lt;0,-ABS((AD53-AD52)/(AE53-AD52)),MIN(1,ABS((AD53-AD52)/(AE53-AD52))))),IF((AE53-AD52)&lt;=-500,IF(ABS((AD53-AD52))&lt;500,"",IF((AD53-AD52)&gt;0,-ABS((AD53-AD52)/(AE53-AD52)),MIN(1,ABS((AD53-AD52)/(AE53-AD52))))),IF(ABS((AD53-AD52))&lt;500,1,MIN(1,500/ABS((AD53-AD52))))))</f>
        <v/>
      </c>
      <c r="AI53">
        <f>IF(AND(ABS((AD53-AD52))&lt;500,ABS((AE53-AD52))&lt;500),1,IF(AND(ABS((AD53-AD52))&lt;500,ABS((AE53-AD52))&gt;=500),0,IF((AD53-AD52)*(AE53-AD52)&gt;0,1,0)))</f>
        <v/>
      </c>
      <c r="AK53" s="6" t="n">
        <v>45000</v>
      </c>
      <c r="AL53" s="7" t="n">
        <v>44904.992</v>
      </c>
      <c r="AM53">
        <f>ABS(AK53-AL53)</f>
        <v/>
      </c>
      <c r="AN53" s="8">
        <f>IF(AK53=0,"-",1-ABS(AK53-AL53)/AK53)</f>
        <v/>
      </c>
      <c r="AO53">
        <f>IF((AL53-AK52)&gt;=500,IF(ABS((AK53-AK52))&lt;500,"",IF((AK53-AK52)&lt;0,-ABS((AK53-AK52)/(AL53-AK52)),MIN(1,ABS((AK53-AK52)/(AL53-AK52))))),IF((AL53-AK52)&lt;=-500,IF(ABS((AK53-AK52))&lt;500,"",IF((AK53-AK52)&gt;0,-ABS((AK53-AK52)/(AL53-AK52)),MIN(1,ABS((AK53-AK52)/(AL53-AK52))))),IF(ABS((AK53-AK52))&lt;500,1,MIN(1,500/ABS((AK53-AK52))))))</f>
        <v/>
      </c>
      <c r="AP53">
        <f>IF(AND(ABS((AK53-AK52))&lt;500,ABS((AL53-AK52))&lt;500),1,IF(AND(ABS((AK53-AK52))&lt;500,ABS((AL53-AK52))&gt;=500),0,IF((AK53-AK52)*(AL53-AK52)&gt;0,1,0)))</f>
        <v/>
      </c>
    </row>
    <row r="54">
      <c r="A54" s="5" t="n">
        <v>45914</v>
      </c>
      <c r="B54" s="6" t="n">
        <v>50500</v>
      </c>
      <c r="C54" s="7" t="n">
        <v>51074.07</v>
      </c>
      <c r="D54">
        <f>ABS(B54-C54)</f>
        <v/>
      </c>
      <c r="E54" s="8">
        <f>IF(B54=0,"-",1-ABS(B54-C54)/B54)</f>
        <v/>
      </c>
      <c r="F54">
        <f>IF((C54-B53)&gt;=500,IF(ABS((B54-B53))&lt;500,"",IF((B54-B53)&lt;0,-ABS((B54-B53)/(C54-B53)),MIN(1,ABS((B54-B53)/(C54-B53))))),IF((C54-B53)&lt;=-500,IF(ABS((B54-B53))&lt;500,"",IF((B54-B53)&gt;0,-ABS((B54-B53)/(C54-B53)),MIN(1,ABS((B54-B53)/(C54-B53))))),IF(ABS((B54-B53))&lt;500,1,MIN(1,500/ABS((B54-B53))))))</f>
        <v/>
      </c>
      <c r="G54">
        <f>IF(AND(ABS((B54-B53))&lt;500,ABS((C54-B53))&lt;500),1,IF(AND(ABS((B54-B53))&lt;500,ABS((C54-B53))&gt;=500),0,IF((B54-B53)*(C54-B53)&gt;0,1,0)))</f>
        <v/>
      </c>
      <c r="I54" s="6" t="n">
        <v>49350</v>
      </c>
      <c r="J54" s="7" t="n">
        <v>49475.484</v>
      </c>
      <c r="K54">
        <f>ABS(I54-J54)</f>
        <v/>
      </c>
      <c r="L54" s="8">
        <f>IF(I54=0,"-",1-ABS(I54-J54)/I54)</f>
        <v/>
      </c>
      <c r="M54">
        <f>IF((J54-I53)&gt;=500,IF(ABS((I54-I53))&lt;500,"",IF((I54-I53)&lt;0,-ABS((I54-I53)/(J54-I53)),MIN(1,ABS((I54-I53)/(J54-I53))))),IF((J54-I53)&lt;=-500,IF(ABS((I54-I53))&lt;500,"",IF((I54-I53)&gt;0,-ABS((I54-I53)/(J54-I53)),MIN(1,ABS((I54-I53)/(J54-I53))))),IF(ABS((I54-I53))&lt;500,1,MIN(1,500/ABS((I54-I53))))))</f>
        <v/>
      </c>
      <c r="N54">
        <f>IF(AND(ABS((I54-I53))&lt;500,ABS((J54-I53))&lt;500),1,IF(AND(ABS((I54-I53))&lt;500,ABS((J54-I53))&gt;=500),0,IF((I54-I53)*(J54-I53)&gt;0,1,0)))</f>
        <v/>
      </c>
      <c r="P54" s="6" t="n">
        <v>47000</v>
      </c>
      <c r="Q54" s="7" t="n">
        <v>47486.297</v>
      </c>
      <c r="R54">
        <f>ABS(P54-Q54)</f>
        <v/>
      </c>
      <c r="S54" s="8">
        <f>IF(P54=0,"-",1-ABS(P54-Q54)/P54)</f>
        <v/>
      </c>
      <c r="T54">
        <f>IF((Q54-P53)&gt;=500,IF(ABS((P54-P53))&lt;500,"",IF((P54-P53)&lt;0,-ABS((P54-P53)/(Q54-P53)),MIN(1,ABS((P54-P53)/(Q54-P53))))),IF((Q54-P53)&lt;=-500,IF(ABS((P54-P53))&lt;500,"",IF((P54-P53)&gt;0,-ABS((P54-P53)/(Q54-P53)),MIN(1,ABS((P54-P53)/(Q54-P53))))),IF(ABS((P54-P53))&lt;500,1,MIN(1,500/ABS((P54-P53))))))</f>
        <v/>
      </c>
      <c r="U54">
        <f>IF(AND(ABS((P54-P53))&lt;500,ABS((Q54-P53))&lt;500),1,IF(AND(ABS((P54-P53))&lt;500,ABS((Q54-P53))&gt;=500),0,IF((P54-P53)*(Q54-P53)&gt;0,1,0)))</f>
        <v/>
      </c>
      <c r="W54" s="6" t="n">
        <v>44600</v>
      </c>
      <c r="X54" s="7" t="n">
        <v>44681.016</v>
      </c>
      <c r="Y54">
        <f>ABS(W54-X54)</f>
        <v/>
      </c>
      <c r="Z54" s="8">
        <f>IF(W54=0,"-",1-ABS(W54-X54)/W54)</f>
        <v/>
      </c>
      <c r="AA54">
        <f>IF((X54-W53)&gt;=500,IF(ABS((W54-W53))&lt;500,"",IF((W54-W53)&lt;0,-ABS((W54-W53)/(X54-W53)),MIN(1,ABS((W54-W53)/(X54-W53))))),IF((X54-W53)&lt;=-500,IF(ABS((W54-W53))&lt;500,"",IF((W54-W53)&gt;0,-ABS((W54-W53)/(X54-W53)),MIN(1,ABS((W54-W53)/(X54-W53))))),IF(ABS((W54-W53))&lt;500,1,MIN(1,500/ABS((W54-W53))))))</f>
        <v/>
      </c>
      <c r="AB54">
        <f>IF(AND(ABS((W54-W53))&lt;500,ABS((X54-W53))&lt;500),1,IF(AND(ABS((W54-W53))&lt;500,ABS((X54-W53))&gt;=500),0,IF((W54-W53)*(X54-W53)&gt;0,1,0)))</f>
        <v/>
      </c>
      <c r="AD54" s="6" t="n">
        <v>39483.33</v>
      </c>
      <c r="AE54" s="7" t="n">
        <v>39536.562</v>
      </c>
      <c r="AF54">
        <f>ABS(AD54-AE54)</f>
        <v/>
      </c>
      <c r="AG54" s="8">
        <f>IF(AD54=0,"-",1-ABS(AD54-AE54)/AD54)</f>
        <v/>
      </c>
      <c r="AH54">
        <f>IF((AE54-AD53)&gt;=500,IF(ABS((AD54-AD53))&lt;500,"",IF((AD54-AD53)&lt;0,-ABS((AD54-AD53)/(AE54-AD53)),MIN(1,ABS((AD54-AD53)/(AE54-AD53))))),IF((AE54-AD53)&lt;=-500,IF(ABS((AD54-AD53))&lt;500,"",IF((AD54-AD53)&gt;0,-ABS((AD54-AD53)/(AE54-AD53)),MIN(1,ABS((AD54-AD53)/(AE54-AD53))))),IF(ABS((AD54-AD53))&lt;500,1,MIN(1,500/ABS((AD54-AD53))))))</f>
        <v/>
      </c>
      <c r="AI54">
        <f>IF(AND(ABS((AD54-AD53))&lt;500,ABS((AE54-AD53))&lt;500),1,IF(AND(ABS((AD54-AD53))&lt;500,ABS((AE54-AD53))&gt;=500),0,IF((AD54-AD53)*(AE54-AD53)&gt;0,1,0)))</f>
        <v/>
      </c>
      <c r="AK54" s="6" t="n">
        <v>45416.67</v>
      </c>
      <c r="AL54" s="7" t="n">
        <v>44684.586</v>
      </c>
      <c r="AM54">
        <f>ABS(AK54-AL54)</f>
        <v/>
      </c>
      <c r="AN54" s="8">
        <f>IF(AK54=0,"-",1-ABS(AK54-AL54)/AK54)</f>
        <v/>
      </c>
      <c r="AO54">
        <f>IF((AL54-AK53)&gt;=500,IF(ABS((AK54-AK53))&lt;500,"",IF((AK54-AK53)&lt;0,-ABS((AK54-AK53)/(AL54-AK53)),MIN(1,ABS((AK54-AK53)/(AL54-AK53))))),IF((AL54-AK53)&lt;=-500,IF(ABS((AK54-AK53))&lt;500,"",IF((AK54-AK53)&gt;0,-ABS((AK54-AK53)/(AL54-AK53)),MIN(1,ABS((AK54-AK53)/(AL54-AK53))))),IF(ABS((AK54-AK53))&lt;500,1,MIN(1,500/ABS((AK54-AK53))))))</f>
        <v/>
      </c>
      <c r="AP54">
        <f>IF(AND(ABS((AK54-AK53))&lt;500,ABS((AL54-AK53))&lt;500),1,IF(AND(ABS((AK54-AK53))&lt;500,ABS((AL54-AK53))&gt;=500),0,IF((AK54-AK53)*(AL54-AK53)&gt;0,1,0)))</f>
        <v/>
      </c>
    </row>
    <row r="55">
      <c r="A55" s="5" t="n">
        <v>45921</v>
      </c>
      <c r="B55" s="6" t="n">
        <v>50000</v>
      </c>
      <c r="C55" s="7" t="n">
        <v>50789.695</v>
      </c>
      <c r="D55">
        <f>ABS(B55-C55)</f>
        <v/>
      </c>
      <c r="E55" s="8">
        <f>IF(B55=0,"-",1-ABS(B55-C55)/B55)</f>
        <v/>
      </c>
      <c r="F55">
        <f>IF((C55-B54)&gt;=500,IF(ABS((B55-B54))&lt;500,"",IF((B55-B54)&lt;0,-ABS((B55-B54)/(C55-B54)),MIN(1,ABS((B55-B54)/(C55-B54))))),IF((C55-B54)&lt;=-500,IF(ABS((B55-B54))&lt;500,"",IF((B55-B54)&gt;0,-ABS((B55-B54)/(C55-B54)),MIN(1,ABS((B55-B54)/(C55-B54))))),IF(ABS((B55-B54))&lt;500,1,MIN(1,500/ABS((B55-B54))))))</f>
        <v/>
      </c>
      <c r="G55">
        <f>IF(AND(ABS((B55-B54))&lt;500,ABS((C55-B54))&lt;500),1,IF(AND(ABS((B55-B54))&lt;500,ABS((C55-B54))&gt;=500),0,IF((B55-B54)*(C55-B54)&gt;0,1,0)))</f>
        <v/>
      </c>
      <c r="I55" s="6" t="n">
        <v>49150</v>
      </c>
      <c r="J55" s="7" t="n">
        <v>49244.81</v>
      </c>
      <c r="K55">
        <f>ABS(I55-J55)</f>
        <v/>
      </c>
      <c r="L55" s="8">
        <f>IF(I55=0,"-",1-ABS(I55-J55)/I55)</f>
        <v/>
      </c>
      <c r="M55">
        <f>IF((J55-I54)&gt;=500,IF(ABS((I55-I54))&lt;500,"",IF((I55-I54)&lt;0,-ABS((I55-I54)/(J55-I54)),MIN(1,ABS((I55-I54)/(J55-I54))))),IF((J55-I54)&lt;=-500,IF(ABS((I55-I54))&lt;500,"",IF((I55-I54)&gt;0,-ABS((I55-I54)/(J55-I54)),MIN(1,ABS((I55-I54)/(J55-I54))))),IF(ABS((I55-I54))&lt;500,1,MIN(1,500/ABS((I55-I54))))))</f>
        <v/>
      </c>
      <c r="N55">
        <f>IF(AND(ABS((I55-I54))&lt;500,ABS((J55-I54))&lt;500),1,IF(AND(ABS((I55-I54))&lt;500,ABS((J55-I54))&gt;=500),0,IF((I55-I54)*(J55-I54)&gt;0,1,0)))</f>
        <v/>
      </c>
      <c r="P55" s="6" t="n">
        <v>46800</v>
      </c>
      <c r="Q55" s="7" t="n">
        <v>47172.934</v>
      </c>
      <c r="R55">
        <f>ABS(P55-Q55)</f>
        <v/>
      </c>
      <c r="S55" s="8">
        <f>IF(P55=0,"-",1-ABS(P55-Q55)/P55)</f>
        <v/>
      </c>
      <c r="T55">
        <f>IF((Q55-P54)&gt;=500,IF(ABS((P55-P54))&lt;500,"",IF((P55-P54)&lt;0,-ABS((P55-P54)/(Q55-P54)),MIN(1,ABS((P55-P54)/(Q55-P54))))),IF((Q55-P54)&lt;=-500,IF(ABS((P55-P54))&lt;500,"",IF((P55-P54)&gt;0,-ABS((P55-P54)/(Q55-P54)),MIN(1,ABS((P55-P54)/(Q55-P54))))),IF(ABS((P55-P54))&lt;500,1,MIN(1,500/ABS((P55-P54))))))</f>
        <v/>
      </c>
      <c r="U55">
        <f>IF(AND(ABS((P55-P54))&lt;500,ABS((Q55-P54))&lt;500),1,IF(AND(ABS((P55-P54))&lt;500,ABS((Q55-P54))&gt;=500),0,IF((P55-P54)*(Q55-P54)&gt;0,1,0)))</f>
        <v/>
      </c>
      <c r="W55" s="6" t="n">
        <v>44200</v>
      </c>
      <c r="X55" s="7" t="n">
        <v>44679.492</v>
      </c>
      <c r="Y55">
        <f>ABS(W55-X55)</f>
        <v/>
      </c>
      <c r="Z55" s="8">
        <f>IF(W55=0,"-",1-ABS(W55-X55)/W55)</f>
        <v/>
      </c>
      <c r="AA55">
        <f>IF((X55-W54)&gt;=500,IF(ABS((W55-W54))&lt;500,"",IF((W55-W54)&lt;0,-ABS((W55-W54)/(X55-W54)),MIN(1,ABS((W55-W54)/(X55-W54))))),IF((X55-W54)&lt;=-500,IF(ABS((W55-W54))&lt;500,"",IF((W55-W54)&gt;0,-ABS((W55-W54)/(X55-W54)),MIN(1,ABS((W55-W54)/(X55-W54))))),IF(ABS((W55-W54))&lt;500,1,MIN(1,500/ABS((W55-W54))))))</f>
        <v/>
      </c>
      <c r="AB55">
        <f>IF(AND(ABS((W55-W54))&lt;500,ABS((X55-W54))&lt;500),1,IF(AND(ABS((W55-W54))&lt;500,ABS((X55-W54))&gt;=500),0,IF((W55-W54)*(X55-W54)&gt;0,1,0)))</f>
        <v/>
      </c>
      <c r="AD55" s="6" t="n">
        <v>39866.67</v>
      </c>
      <c r="AE55" s="7" t="n">
        <v>39419.43</v>
      </c>
      <c r="AF55">
        <f>ABS(AD55-AE55)</f>
        <v/>
      </c>
      <c r="AG55" s="8">
        <f>IF(AD55=0,"-",1-ABS(AD55-AE55)/AD55)</f>
        <v/>
      </c>
      <c r="AH55">
        <f>IF((AE55-AD54)&gt;=500,IF(ABS((AD55-AD54))&lt;500,"",IF((AD55-AD54)&lt;0,-ABS((AD55-AD54)/(AE55-AD54)),MIN(1,ABS((AD55-AD54)/(AE55-AD54))))),IF((AE55-AD54)&lt;=-500,IF(ABS((AD55-AD54))&lt;500,"",IF((AD55-AD54)&gt;0,-ABS((AD55-AD54)/(AE55-AD54)),MIN(1,ABS((AD55-AD54)/(AE55-AD54))))),IF(ABS((AD55-AD54))&lt;500,1,MIN(1,500/ABS((AD55-AD54))))))</f>
        <v/>
      </c>
      <c r="AI55">
        <f>IF(AND(ABS((AD55-AD54))&lt;500,ABS((AE55-AD54))&lt;500),1,IF(AND(ABS((AD55-AD54))&lt;500,ABS((AE55-AD54))&gt;=500),0,IF((AD55-AD54)*(AE55-AD54)&gt;0,1,0)))</f>
        <v/>
      </c>
      <c r="AK55" s="6" t="n">
        <v>45050</v>
      </c>
      <c r="AL55" s="7" t="n">
        <v>45059.367</v>
      </c>
      <c r="AM55">
        <f>ABS(AK55-AL55)</f>
        <v/>
      </c>
      <c r="AN55" s="8">
        <f>IF(AK55=0,"-",1-ABS(AK55-AL55)/AK55)</f>
        <v/>
      </c>
      <c r="AO55">
        <f>IF((AL55-AK54)&gt;=500,IF(ABS((AK55-AK54))&lt;500,"",IF((AK55-AK54)&lt;0,-ABS((AK55-AK54)/(AL55-AK54)),MIN(1,ABS((AK55-AK54)/(AL55-AK54))))),IF((AL55-AK54)&lt;=-500,IF(ABS((AK55-AK54))&lt;500,"",IF((AK55-AK54)&gt;0,-ABS((AK55-AK54)/(AL55-AK54)),MIN(1,ABS((AK55-AK54)/(AL55-AK54))))),IF(ABS((AK55-AK54))&lt;500,1,MIN(1,500/ABS((AK55-AK54))))))</f>
        <v/>
      </c>
      <c r="AP55">
        <f>IF(AND(ABS((AK55-AK54))&lt;500,ABS((AL55-AK54))&lt;500),1,IF(AND(ABS((AK55-AK54))&lt;500,ABS((AL55-AK54))&gt;=500),0,IF((AK55-AK54)*(AL55-AK54)&gt;0,1,0)))</f>
        <v/>
      </c>
    </row>
    <row r="56">
      <c r="A56" s="5" t="n">
        <v>45928</v>
      </c>
      <c r="B56" s="6" t="n">
        <v>50000</v>
      </c>
      <c r="C56" s="7" t="n">
        <v>50240.68</v>
      </c>
      <c r="D56">
        <f>ABS(B56-C56)</f>
        <v/>
      </c>
      <c r="E56" s="8">
        <f>IF(B56=0,"-",1-ABS(B56-C56)/B56)</f>
        <v/>
      </c>
      <c r="F56">
        <f>IF((C56-B55)&gt;=500,IF(ABS((B56-B55))&lt;500,"",IF((B56-B55)&lt;0,-ABS((B56-B55)/(C56-B55)),MIN(1,ABS((B56-B55)/(C56-B55))))),IF((C56-B55)&lt;=-500,IF(ABS((B56-B55))&lt;500,"",IF((B56-B55)&gt;0,-ABS((B56-B55)/(C56-B55)),MIN(1,ABS((B56-B55)/(C56-B55))))),IF(ABS((B56-B55))&lt;500,1,MIN(1,500/ABS((B56-B55))))))</f>
        <v/>
      </c>
      <c r="G56">
        <f>IF(AND(ABS((B56-B55))&lt;500,ABS((C56-B55))&lt;500),1,IF(AND(ABS((B56-B55))&lt;500,ABS((C56-B55))&gt;=500),0,IF((B56-B55)*(C56-B55)&gt;0,1,0)))</f>
        <v/>
      </c>
      <c r="I56" s="6" t="n">
        <v>48900</v>
      </c>
      <c r="J56" s="7" t="n">
        <v>49076.21</v>
      </c>
      <c r="K56">
        <f>ABS(I56-J56)</f>
        <v/>
      </c>
      <c r="L56" s="8">
        <f>IF(I56=0,"-",1-ABS(I56-J56)/I56)</f>
        <v/>
      </c>
      <c r="M56">
        <f>IF((J56-I55)&gt;=500,IF(ABS((I56-I55))&lt;500,"",IF((I56-I55)&lt;0,-ABS((I56-I55)/(J56-I55)),MIN(1,ABS((I56-I55)/(J56-I55))))),IF((J56-I55)&lt;=-500,IF(ABS((I56-I55))&lt;500,"",IF((I56-I55)&gt;0,-ABS((I56-I55)/(J56-I55)),MIN(1,ABS((I56-I55)/(J56-I55))))),IF(ABS((I56-I55))&lt;500,1,MIN(1,500/ABS((I56-I55))))))</f>
        <v/>
      </c>
      <c r="N56">
        <f>IF(AND(ABS((I56-I55))&lt;500,ABS((J56-I55))&lt;500),1,IF(AND(ABS((I56-I55))&lt;500,ABS((J56-I55))&gt;=500),0,IF((I56-I55)*(J56-I55)&gt;0,1,0)))</f>
        <v/>
      </c>
      <c r="P56" s="6" t="n">
        <v>47200</v>
      </c>
      <c r="Q56" s="7" t="n">
        <v>46974.69</v>
      </c>
      <c r="R56">
        <f>ABS(P56-Q56)</f>
        <v/>
      </c>
      <c r="S56" s="8">
        <f>IF(P56=0,"-",1-ABS(P56-Q56)/P56)</f>
        <v/>
      </c>
      <c r="T56">
        <f>IF((Q56-P55)&gt;=500,IF(ABS((P56-P55))&lt;500,"",IF((P56-P55)&lt;0,-ABS((P56-P55)/(Q56-P55)),MIN(1,ABS((P56-P55)/(Q56-P55))))),IF((Q56-P55)&lt;=-500,IF(ABS((P56-P55))&lt;500,"",IF((P56-P55)&gt;0,-ABS((P56-P55)/(Q56-P55)),MIN(1,ABS((P56-P55)/(Q56-P55))))),IF(ABS((P56-P55))&lt;500,1,MIN(1,500/ABS((P56-P55))))))</f>
        <v/>
      </c>
      <c r="U56">
        <f>IF(AND(ABS((P56-P55))&lt;500,ABS((Q56-P55))&lt;500),1,IF(AND(ABS((P56-P55))&lt;500,ABS((Q56-P55))&gt;=500),0,IF((P56-P55)*(Q56-P55)&gt;0,1,0)))</f>
        <v/>
      </c>
      <c r="W56" s="6" t="n">
        <v>44383.33</v>
      </c>
      <c r="X56" s="7" t="n">
        <v>44393.36</v>
      </c>
      <c r="Y56">
        <f>ABS(W56-X56)</f>
        <v/>
      </c>
      <c r="Z56" s="8">
        <f>IF(W56=0,"-",1-ABS(W56-X56)/W56)</f>
        <v/>
      </c>
      <c r="AA56">
        <f>IF((X56-W55)&gt;=500,IF(ABS((W56-W55))&lt;500,"",IF((W56-W55)&lt;0,-ABS((W56-W55)/(X56-W55)),MIN(1,ABS((W56-W55)/(X56-W55))))),IF((X56-W55)&lt;=-500,IF(ABS((W56-W55))&lt;500,"",IF((W56-W55)&gt;0,-ABS((W56-W55)/(X56-W55)),MIN(1,ABS((W56-W55)/(X56-W55))))),IF(ABS((W56-W55))&lt;500,1,MIN(1,500/ABS((W56-W55))))))</f>
        <v/>
      </c>
      <c r="AB56">
        <f>IF(AND(ABS((W56-W55))&lt;500,ABS((X56-W55))&lt;500),1,IF(AND(ABS((W56-W55))&lt;500,ABS((X56-W55))&gt;=500),0,IF((W56-W55)*(X56-W55)&gt;0,1,0)))</f>
        <v/>
      </c>
      <c r="AD56" s="6" t="n">
        <v>39600</v>
      </c>
      <c r="AE56" s="7" t="n">
        <v>39791.625</v>
      </c>
      <c r="AF56">
        <f>ABS(AD56-AE56)</f>
        <v/>
      </c>
      <c r="AG56" s="8">
        <f>IF(AD56=0,"-",1-ABS(AD56-AE56)/AD56)</f>
        <v/>
      </c>
      <c r="AH56">
        <f>IF((AE56-AD55)&gt;=500,IF(ABS((AD56-AD55))&lt;500,"",IF((AD56-AD55)&lt;0,-ABS((AD56-AD55)/(AE56-AD55)),MIN(1,ABS((AD56-AD55)/(AE56-AD55))))),IF((AE56-AD55)&lt;=-500,IF(ABS((AD56-AD55))&lt;500,"",IF((AD56-AD55)&gt;0,-ABS((AD56-AD55)/(AE56-AD55)),MIN(1,ABS((AD56-AD55)/(AE56-AD55))))),IF(ABS((AD56-AD55))&lt;500,1,MIN(1,500/ABS((AD56-AD55))))))</f>
        <v/>
      </c>
      <c r="AI56">
        <f>IF(AND(ABS((AD56-AD55))&lt;500,ABS((AE56-AD55))&lt;500),1,IF(AND(ABS((AD56-AD55))&lt;500,ABS((AE56-AD55))&gt;=500),0,IF((AD56-AD55)*(AE56-AD55)&gt;0,1,0)))</f>
        <v/>
      </c>
      <c r="AK56" s="6" t="n">
        <v>44950</v>
      </c>
      <c r="AL56" s="7" t="n">
        <v>44727.523</v>
      </c>
      <c r="AM56">
        <f>ABS(AK56-AL56)</f>
        <v/>
      </c>
      <c r="AN56" s="8">
        <f>IF(AK56=0,"-",1-ABS(AK56-AL56)/AK56)</f>
        <v/>
      </c>
      <c r="AO56">
        <f>IF((AL56-AK55)&gt;=500,IF(ABS((AK56-AK55))&lt;500,"",IF((AK56-AK55)&lt;0,-ABS((AK56-AK55)/(AL56-AK55)),MIN(1,ABS((AK56-AK55)/(AL56-AK55))))),IF((AL56-AK55)&lt;=-500,IF(ABS((AK56-AK55))&lt;500,"",IF((AK56-AK55)&gt;0,-ABS((AK56-AK55)/(AL56-AK55)),MIN(1,ABS((AK56-AK55)/(AL56-AK55))))),IF(ABS((AK56-AK55))&lt;500,1,MIN(1,500/ABS((AK56-AK55))))))</f>
        <v/>
      </c>
      <c r="AP56">
        <f>IF(AND(ABS((AK56-AK55))&lt;500,ABS((AL56-AK55))&lt;500),1,IF(AND(ABS((AK56-AK55))&lt;500,ABS((AL56-AK55))&gt;=500),0,IF((AK56-AK55)*(AL56-AK55)&gt;0,1,0)))</f>
        <v/>
      </c>
    </row>
    <row r="57">
      <c r="A57" s="5" t="n">
        <v>45935</v>
      </c>
      <c r="B57" s="6" t="n">
        <v>50000</v>
      </c>
      <c r="C57" s="7" t="n">
        <v>50065.42</v>
      </c>
      <c r="D57">
        <f>ABS(B57-C57)</f>
        <v/>
      </c>
      <c r="E57" s="8">
        <f>IF(B57=0,"-",1-ABS(B57-C57)/B57)</f>
        <v/>
      </c>
      <c r="F57">
        <f>IF((C57-B56)&gt;=500,IF(ABS((B57-B56))&lt;500,"",IF((B57-B56)&lt;0,-ABS((B57-B56)/(C57-B56)),MIN(1,ABS((B57-B56)/(C57-B56))))),IF((C57-B56)&lt;=-500,IF(ABS((B57-B56))&lt;500,"",IF((B57-B56)&gt;0,-ABS((B57-B56)/(C57-B56)),MIN(1,ABS((B57-B56)/(C57-B56))))),IF(ABS((B57-B56))&lt;500,1,MIN(1,500/ABS((B57-B56))))))</f>
        <v/>
      </c>
      <c r="G57">
        <f>IF(AND(ABS((B57-B56))&lt;500,ABS((C57-B56))&lt;500),1,IF(AND(ABS((B57-B56))&lt;500,ABS((C57-B56))&gt;=500),0,IF((B57-B56)*(C57-B56)&gt;0,1,0)))</f>
        <v/>
      </c>
      <c r="I57" s="6" t="n">
        <v>48500</v>
      </c>
      <c r="J57" s="7" t="n">
        <v>48945.44</v>
      </c>
      <c r="K57">
        <f>ABS(I57-J57)</f>
        <v/>
      </c>
      <c r="L57" s="8">
        <f>IF(I57=0,"-",1-ABS(I57-J57)/I57)</f>
        <v/>
      </c>
      <c r="M57">
        <f>IF((J57-I56)&gt;=500,IF(ABS((I57-I56))&lt;500,"",IF((I57-I56)&lt;0,-ABS((I57-I56)/(J57-I56)),MIN(1,ABS((I57-I56)/(J57-I56))))),IF((J57-I56)&lt;=-500,IF(ABS((I57-I56))&lt;500,"",IF((I57-I56)&gt;0,-ABS((I57-I56)/(J57-I56)),MIN(1,ABS((I57-I56)/(J57-I56))))),IF(ABS((I57-I56))&lt;500,1,MIN(1,500/ABS((I57-I56))))))</f>
        <v/>
      </c>
      <c r="N57">
        <f>IF(AND(ABS((I57-I56))&lt;500,ABS((J57-I56))&lt;500),1,IF(AND(ABS((I57-I56))&lt;500,ABS((J57-I56))&gt;=500),0,IF((I57-I56)*(J57-I56)&gt;0,1,0)))</f>
        <v/>
      </c>
      <c r="P57" s="6" t="n">
        <v>47100</v>
      </c>
      <c r="Q57" s="7" t="n">
        <v>47264.008</v>
      </c>
      <c r="R57">
        <f>ABS(P57-Q57)</f>
        <v/>
      </c>
      <c r="S57" s="8">
        <f>IF(P57=0,"-",1-ABS(P57-Q57)/P57)</f>
        <v/>
      </c>
      <c r="T57">
        <f>IF((Q57-P56)&gt;=500,IF(ABS((P57-P56))&lt;500,"",IF((P57-P56)&lt;0,-ABS((P57-P56)/(Q57-P56)),MIN(1,ABS((P57-P56)/(Q57-P56))))),IF((Q57-P56)&lt;=-500,IF(ABS((P57-P56))&lt;500,"",IF((P57-P56)&gt;0,-ABS((P57-P56)/(Q57-P56)),MIN(1,ABS((P57-P56)/(Q57-P56))))),IF(ABS((P57-P56))&lt;500,1,MIN(1,500/ABS((P57-P56))))))</f>
        <v/>
      </c>
      <c r="U57">
        <f>IF(AND(ABS((P57-P56))&lt;500,ABS((Q57-P56))&lt;500),1,IF(AND(ABS((P57-P56))&lt;500,ABS((Q57-P56))&gt;=500),0,IF((P57-P56)*(Q57-P56)&gt;0,1,0)))</f>
        <v/>
      </c>
      <c r="W57" s="6" t="n">
        <v>43750</v>
      </c>
      <c r="X57" s="7" t="n">
        <v>44494.258</v>
      </c>
      <c r="Y57">
        <f>ABS(W57-X57)</f>
        <v/>
      </c>
      <c r="Z57" s="8">
        <f>IF(W57=0,"-",1-ABS(W57-X57)/W57)</f>
        <v/>
      </c>
      <c r="AA57">
        <f>IF((X57-W56)&gt;=500,IF(ABS((W57-W56))&lt;500,"",IF((W57-W56)&lt;0,-ABS((W57-W56)/(X57-W56)),MIN(1,ABS((W57-W56)/(X57-W56))))),IF((X57-W56)&lt;=-500,IF(ABS((W57-W56))&lt;500,"",IF((W57-W56)&gt;0,-ABS((W57-W56)/(X57-W56)),MIN(1,ABS((W57-W56)/(X57-W56))))),IF(ABS((W57-W56))&lt;500,1,MIN(1,500/ABS((W57-W56))))))</f>
        <v/>
      </c>
      <c r="AB57">
        <f>IF(AND(ABS((W57-W56))&lt;500,ABS((X57-W56))&lt;500),1,IF(AND(ABS((W57-W56))&lt;500,ABS((X57-W56))&gt;=500),0,IF((W57-W56)*(X57-W56)&gt;0,1,0)))</f>
        <v/>
      </c>
      <c r="AD57" s="6" t="n">
        <v>39733.33</v>
      </c>
      <c r="AE57" s="7" t="n">
        <v>39523.77</v>
      </c>
      <c r="AF57">
        <f>ABS(AD57-AE57)</f>
        <v/>
      </c>
      <c r="AG57" s="8">
        <f>IF(AD57=0,"-",1-ABS(AD57-AE57)/AD57)</f>
        <v/>
      </c>
      <c r="AH57">
        <f>IF((AE57-AD56)&gt;=500,IF(ABS((AD57-AD56))&lt;500,"",IF((AD57-AD56)&lt;0,-ABS((AD57-AD56)/(AE57-AD56)),MIN(1,ABS((AD57-AD56)/(AE57-AD56))))),IF((AE57-AD56)&lt;=-500,IF(ABS((AD57-AD56))&lt;500,"",IF((AD57-AD56)&gt;0,-ABS((AD57-AD56)/(AE57-AD56)),MIN(1,ABS((AD57-AD56)/(AE57-AD56))))),IF(ABS((AD57-AD56))&lt;500,1,MIN(1,500/ABS((AD57-AD56))))))</f>
        <v/>
      </c>
      <c r="AI57">
        <f>IF(AND(ABS((AD57-AD56))&lt;500,ABS((AE57-AD56))&lt;500),1,IF(AND(ABS((AD57-AD56))&lt;500,ABS((AE57-AD56))&gt;=500),0,IF((AD57-AD56)*(AE57-AD56)&gt;0,1,0)))</f>
        <v/>
      </c>
      <c r="AK57" s="6" t="n">
        <v>44520</v>
      </c>
      <c r="AL57" s="7" t="n">
        <v>44621.773</v>
      </c>
      <c r="AM57">
        <f>ABS(AK57-AL57)</f>
        <v/>
      </c>
      <c r="AN57" s="8">
        <f>IF(AK57=0,"-",1-ABS(AK57-AL57)/AK57)</f>
        <v/>
      </c>
      <c r="AO57">
        <f>IF((AL57-AK56)&gt;=500,IF(ABS((AK57-AK56))&lt;500,"",IF((AK57-AK56)&lt;0,-ABS((AK57-AK56)/(AL57-AK56)),MIN(1,ABS((AK57-AK56)/(AL57-AK56))))),IF((AL57-AK56)&lt;=-500,IF(ABS((AK57-AK56))&lt;500,"",IF((AK57-AK56)&gt;0,-ABS((AK57-AK56)/(AL57-AK56)),MIN(1,ABS((AK57-AK56)/(AL57-AK56))))),IF(ABS((AK57-AK56))&lt;500,1,MIN(1,500/ABS((AK57-AK56))))))</f>
        <v/>
      </c>
      <c r="AP57">
        <f>IF(AND(ABS((AK57-AK56))&lt;500,ABS((AL57-AK56))&lt;500),1,IF(AND(ABS((AK57-AK56))&lt;500,ABS((AL57-AK56))&gt;=500),0,IF((AK57-AK56)*(AL57-AK56)&gt;0,1,0)))</f>
        <v/>
      </c>
    </row>
    <row r="58">
      <c r="A58" s="5" t="n">
        <v>45942</v>
      </c>
      <c r="B58" s="6" t="n">
        <v>49800</v>
      </c>
      <c r="C58" s="7" t="n">
        <v>49894.113</v>
      </c>
      <c r="D58">
        <f>ABS(B58-C58)</f>
        <v/>
      </c>
      <c r="E58" s="8">
        <f>IF(B58=0,"-",1-ABS(B58-C58)/B58)</f>
        <v/>
      </c>
      <c r="F58">
        <f>IF((C58-B57)&gt;=500,IF(ABS((B58-B57))&lt;500,"",IF((B58-B57)&lt;0,-ABS((B58-B57)/(C58-B57)),MIN(1,ABS((B58-B57)/(C58-B57))))),IF((C58-B57)&lt;=-500,IF(ABS((B58-B57))&lt;500,"",IF((B58-B57)&gt;0,-ABS((B58-B57)/(C58-B57)),MIN(1,ABS((B58-B57)/(C58-B57))))),IF(ABS((B58-B57))&lt;500,1,MIN(1,500/ABS((B58-B57))))))</f>
        <v/>
      </c>
      <c r="G58">
        <f>IF(AND(ABS((B58-B57))&lt;500,ABS((C58-B57))&lt;500),1,IF(AND(ABS((B58-B57))&lt;500,ABS((C58-B57))&gt;=500),0,IF((B58-B57)*(C58-B57)&gt;0,1,0)))</f>
        <v/>
      </c>
      <c r="I58" s="6" t="n">
        <v>48300</v>
      </c>
      <c r="J58" s="7" t="n">
        <v>48411.16</v>
      </c>
      <c r="K58">
        <f>ABS(I58-J58)</f>
        <v/>
      </c>
      <c r="L58" s="8">
        <f>IF(I58=0,"-",1-ABS(I58-J58)/I58)</f>
        <v/>
      </c>
      <c r="M58">
        <f>IF((J58-I57)&gt;=500,IF(ABS((I58-I57))&lt;500,"",IF((I58-I57)&lt;0,-ABS((I58-I57)/(J58-I57)),MIN(1,ABS((I58-I57)/(J58-I57))))),IF((J58-I57)&lt;=-500,IF(ABS((I58-I57))&lt;500,"",IF((I58-I57)&gt;0,-ABS((I58-I57)/(J58-I57)),MIN(1,ABS((I58-I57)/(J58-I57))))),IF(ABS((I58-I57))&lt;500,1,MIN(1,500/ABS((I58-I57))))))</f>
        <v/>
      </c>
      <c r="N58">
        <f>IF(AND(ABS((I58-I57))&lt;500,ABS((J58-I57))&lt;500),1,IF(AND(ABS((I58-I57))&lt;500,ABS((J58-I57))&gt;=500),0,IF((I58-I57)*(J58-I57)&gt;0,1,0)))</f>
        <v/>
      </c>
      <c r="P58" s="6" t="n">
        <v>46900</v>
      </c>
      <c r="Q58" s="7" t="n">
        <v>47007.906</v>
      </c>
      <c r="R58">
        <f>ABS(P58-Q58)</f>
        <v/>
      </c>
      <c r="S58" s="8">
        <f>IF(P58=0,"-",1-ABS(P58-Q58)/P58)</f>
        <v/>
      </c>
      <c r="T58">
        <f>IF((Q58-P57)&gt;=500,IF(ABS((P58-P57))&lt;500,"",IF((P58-P57)&lt;0,-ABS((P58-P57)/(Q58-P57)),MIN(1,ABS((P58-P57)/(Q58-P57))))),IF((Q58-P57)&lt;=-500,IF(ABS((P58-P57))&lt;500,"",IF((P58-P57)&gt;0,-ABS((P58-P57)/(Q58-P57)),MIN(1,ABS((P58-P57)/(Q58-P57))))),IF(ABS((P58-P57))&lt;500,1,MIN(1,500/ABS((P58-P57))))))</f>
        <v/>
      </c>
      <c r="U58">
        <f>IF(AND(ABS((P58-P57))&lt;500,ABS((Q58-P57))&lt;500),1,IF(AND(ABS((P58-P57))&lt;500,ABS((Q58-P57))&gt;=500),0,IF((P58-P57)*(Q58-P57)&gt;0,1,0)))</f>
        <v/>
      </c>
      <c r="W58" s="6" t="n">
        <v>43000</v>
      </c>
      <c r="X58" s="7" t="n">
        <v>43873.633</v>
      </c>
      <c r="Y58">
        <f>ABS(W58-X58)</f>
        <v/>
      </c>
      <c r="Z58" s="8">
        <f>IF(W58=0,"-",1-ABS(W58-X58)/W58)</f>
        <v/>
      </c>
      <c r="AA58">
        <f>IF((X58-W57)&gt;=500,IF(ABS((W58-W57))&lt;500,"",IF((W58-W57)&lt;0,-ABS((W58-W57)/(X58-W57)),MIN(1,ABS((W58-W57)/(X58-W57))))),IF((X58-W57)&lt;=-500,IF(ABS((W58-W57))&lt;500,"",IF((W58-W57)&gt;0,-ABS((W58-W57)/(X58-W57)),MIN(1,ABS((W58-W57)/(X58-W57))))),IF(ABS((W58-W57))&lt;500,1,MIN(1,500/ABS((W58-W57))))))</f>
        <v/>
      </c>
      <c r="AB58">
        <f>IF(AND(ABS((W58-W57))&lt;500,ABS((X58-W57))&lt;500),1,IF(AND(ABS((W58-W57))&lt;500,ABS((X58-W57))&gt;=500),0,IF((W58-W57)*(X58-W57)&gt;0,1,0)))</f>
        <v/>
      </c>
      <c r="AD58" s="6" t="n">
        <v>39260</v>
      </c>
      <c r="AE58" s="7" t="n">
        <v>39708.938</v>
      </c>
      <c r="AF58">
        <f>ABS(AD58-AE58)</f>
        <v/>
      </c>
      <c r="AG58" s="8">
        <f>IF(AD58=0,"-",1-ABS(AD58-AE58)/AD58)</f>
        <v/>
      </c>
      <c r="AH58">
        <f>IF((AE58-AD57)&gt;=500,IF(ABS((AD58-AD57))&lt;500,"",IF((AD58-AD57)&lt;0,-ABS((AD58-AD57)/(AE58-AD57)),MIN(1,ABS((AD58-AD57)/(AE58-AD57))))),IF((AE58-AD57)&lt;=-500,IF(ABS((AD58-AD57))&lt;500,"",IF((AD58-AD57)&gt;0,-ABS((AD58-AD57)/(AE58-AD57)),MIN(1,ABS((AD58-AD57)/(AE58-AD57))))),IF(ABS((AD58-AD57))&lt;500,1,MIN(1,500/ABS((AD58-AD57))))))</f>
        <v/>
      </c>
      <c r="AI58">
        <f>IF(AND(ABS((AD58-AD57))&lt;500,ABS((AE58-AD57))&lt;500),1,IF(AND(ABS((AD58-AD57))&lt;500,ABS((AE58-AD57))&gt;=500),0,IF((AD58-AD57)*(AE58-AD57)&gt;0,1,0)))</f>
        <v/>
      </c>
      <c r="AK58" s="6" t="n">
        <v>43983.33</v>
      </c>
      <c r="AL58" s="7" t="n">
        <v>44266.504</v>
      </c>
      <c r="AM58">
        <f>ABS(AK58-AL58)</f>
        <v/>
      </c>
      <c r="AN58" s="8">
        <f>IF(AK58=0,"-",1-ABS(AK58-AL58)/AK58)</f>
        <v/>
      </c>
      <c r="AO58">
        <f>IF((AL58-AK57)&gt;=500,IF(ABS((AK58-AK57))&lt;500,"",IF((AK58-AK57)&lt;0,-ABS((AK58-AK57)/(AL58-AK57)),MIN(1,ABS((AK58-AK57)/(AL58-AK57))))),IF((AL58-AK57)&lt;=-500,IF(ABS((AK58-AK57))&lt;500,"",IF((AK58-AK57)&gt;0,-ABS((AK58-AK57)/(AL58-AK57)),MIN(1,ABS((AK58-AK57)/(AL58-AK57))))),IF(ABS((AK58-AK57))&lt;500,1,MIN(1,500/ABS((AK58-AK57))))))</f>
        <v/>
      </c>
      <c r="AP58">
        <f>IF(AND(ABS((AK58-AK57))&lt;500,ABS((AL58-AK57))&lt;500),1,IF(AND(ABS((AK58-AK57))&lt;500,ABS((AL58-AK57))&gt;=500),0,IF((AK58-AK57)*(AL58-AK57)&gt;0,1,0)))</f>
        <v/>
      </c>
    </row>
    <row r="59">
      <c r="A59" s="5" t="n">
        <v>45949</v>
      </c>
      <c r="B59" s="6" t="n">
        <v>49000</v>
      </c>
      <c r="C59" s="7" t="n">
        <v>49826.508</v>
      </c>
      <c r="D59">
        <f>ABS(B59-C59)</f>
        <v/>
      </c>
      <c r="E59" s="8">
        <f>IF(B59=0,"-",1-ABS(B59-C59)/B59)</f>
        <v/>
      </c>
      <c r="F59">
        <f>IF((C59-B58)&gt;=500,IF(ABS((B59-B58))&lt;500,"",IF((B59-B58)&lt;0,-ABS((B59-B58)/(C59-B58)),MIN(1,ABS((B59-B58)/(C59-B58))))),IF((C59-B58)&lt;=-500,IF(ABS((B59-B58))&lt;500,"",IF((B59-B58)&gt;0,-ABS((B59-B58)/(C59-B58)),MIN(1,ABS((B59-B58)/(C59-B58))))),IF(ABS((B59-B58))&lt;500,1,MIN(1,500/ABS((B59-B58))))))</f>
        <v/>
      </c>
      <c r="G59">
        <f>IF(AND(ABS((B59-B58))&lt;500,ABS((C59-B58))&lt;500),1,IF(AND(ABS((B59-B58))&lt;500,ABS((C59-B58))&gt;=500),0,IF((B59-B58)*(C59-B58)&gt;0,1,0)))</f>
        <v/>
      </c>
      <c r="I59" s="6" t="n">
        <v>47850</v>
      </c>
      <c r="J59" s="7" t="n">
        <v>48227.605</v>
      </c>
      <c r="K59">
        <f>ABS(I59-J59)</f>
        <v/>
      </c>
      <c r="L59" s="8">
        <f>IF(I59=0,"-",1-ABS(I59-J59)/I59)</f>
        <v/>
      </c>
      <c r="M59">
        <f>IF((J59-I58)&gt;=500,IF(ABS((I59-I58))&lt;500,"",IF((I59-I58)&lt;0,-ABS((I59-I58)/(J59-I58)),MIN(1,ABS((I59-I58)/(J59-I58))))),IF((J59-I58)&lt;=-500,IF(ABS((I59-I58))&lt;500,"",IF((I59-I58)&gt;0,-ABS((I59-I58)/(J59-I58)),MIN(1,ABS((I59-I58)/(J59-I58))))),IF(ABS((I59-I58))&lt;500,1,MIN(1,500/ABS((I59-I58))))))</f>
        <v/>
      </c>
      <c r="N59">
        <f>IF(AND(ABS((I59-I58))&lt;500,ABS((J59-I58))&lt;500),1,IF(AND(ABS((I59-I58))&lt;500,ABS((J59-I58))&gt;=500),0,IF((I59-I58)*(J59-I58)&gt;0,1,0)))</f>
        <v/>
      </c>
      <c r="P59" s="6" t="n">
        <v>46800</v>
      </c>
      <c r="Q59" s="7" t="n">
        <v>46818.242</v>
      </c>
      <c r="R59">
        <f>ABS(P59-Q59)</f>
        <v/>
      </c>
      <c r="S59" s="8">
        <f>IF(P59=0,"-",1-ABS(P59-Q59)/P59)</f>
        <v/>
      </c>
      <c r="T59">
        <f>IF((Q59-P58)&gt;=500,IF(ABS((P59-P58))&lt;500,"",IF((P59-P58)&lt;0,-ABS((P59-P58)/(Q59-P58)),MIN(1,ABS((P59-P58)/(Q59-P58))))),IF((Q59-P58)&lt;=-500,IF(ABS((P59-P58))&lt;500,"",IF((P59-P58)&gt;0,-ABS((P59-P58)/(Q59-P58)),MIN(1,ABS((P59-P58)/(Q59-P58))))),IF(ABS((P59-P58))&lt;500,1,MIN(1,500/ABS((P59-P58))))))</f>
        <v/>
      </c>
      <c r="U59">
        <f>IF(AND(ABS((P59-P58))&lt;500,ABS((Q59-P58))&lt;500),1,IF(AND(ABS((P59-P58))&lt;500,ABS((Q59-P58))&gt;=500),0,IF((P59-P58)*(Q59-P58)&gt;0,1,0)))</f>
        <v/>
      </c>
      <c r="W59" s="6" t="n">
        <v>42616.67</v>
      </c>
      <c r="X59" s="7" t="n">
        <v>43167.742</v>
      </c>
      <c r="Y59">
        <f>ABS(W59-X59)</f>
        <v/>
      </c>
      <c r="Z59" s="8">
        <f>IF(W59=0,"-",1-ABS(W59-X59)/W59)</f>
        <v/>
      </c>
      <c r="AA59">
        <f>IF((X59-W58)&gt;=500,IF(ABS((W59-W58))&lt;500,"",IF((W59-W58)&lt;0,-ABS((W59-W58)/(X59-W58)),MIN(1,ABS((W59-W58)/(X59-W58))))),IF((X59-W58)&lt;=-500,IF(ABS((W59-W58))&lt;500,"",IF((W59-W58)&gt;0,-ABS((W59-W58)/(X59-W58)),MIN(1,ABS((W59-W58)/(X59-W58))))),IF(ABS((W59-W58))&lt;500,1,MIN(1,500/ABS((W59-W58))))))</f>
        <v/>
      </c>
      <c r="AB59">
        <f>IF(AND(ABS((W59-W58))&lt;500,ABS((X59-W58))&lt;500),1,IF(AND(ABS((W59-W58))&lt;500,ABS((X59-W58))&gt;=500),0,IF((W59-W58)*(X59-W58)&gt;0,1,0)))</f>
        <v/>
      </c>
      <c r="AD59" s="6" t="n">
        <v>38550</v>
      </c>
      <c r="AE59" s="7" t="n">
        <v>39368.89</v>
      </c>
      <c r="AF59">
        <f>ABS(AD59-AE59)</f>
        <v/>
      </c>
      <c r="AG59" s="8">
        <f>IF(AD59=0,"-",1-ABS(AD59-AE59)/AD59)</f>
        <v/>
      </c>
      <c r="AH59">
        <f>IF((AE59-AD58)&gt;=500,IF(ABS((AD59-AD58))&lt;500,"",IF((AD59-AD58)&lt;0,-ABS((AD59-AD58)/(AE59-AD58)),MIN(1,ABS((AD59-AD58)/(AE59-AD58))))),IF((AE59-AD58)&lt;=-500,IF(ABS((AD59-AD58))&lt;500,"",IF((AD59-AD58)&gt;0,-ABS((AD59-AD58)/(AE59-AD58)),MIN(1,ABS((AD59-AD58)/(AE59-AD58))))),IF(ABS((AD59-AD58))&lt;500,1,MIN(1,500/ABS((AD59-AD58))))))</f>
        <v/>
      </c>
      <c r="AI59">
        <f>IF(AND(ABS((AD59-AD58))&lt;500,ABS((AE59-AD58))&lt;500),1,IF(AND(ABS((AD59-AD58))&lt;500,ABS((AE59-AD58))&gt;=500),0,IF((AD59-AD58)*(AE59-AD58)&gt;0,1,0)))</f>
        <v/>
      </c>
      <c r="AK59" s="6" t="n">
        <v>43283.33</v>
      </c>
      <c r="AL59" s="7" t="n">
        <v>43824.938</v>
      </c>
      <c r="AM59">
        <f>ABS(AK59-AL59)</f>
        <v/>
      </c>
      <c r="AN59" s="8">
        <f>IF(AK59=0,"-",1-ABS(AK59-AL59)/AK59)</f>
        <v/>
      </c>
      <c r="AO59">
        <f>IF((AL59-AK58)&gt;=500,IF(ABS((AK59-AK58))&lt;500,"",IF((AK59-AK58)&lt;0,-ABS((AK59-AK58)/(AL59-AK58)),MIN(1,ABS((AK59-AK58)/(AL59-AK58))))),IF((AL59-AK58)&lt;=-500,IF(ABS((AK59-AK58))&lt;500,"",IF((AK59-AK58)&gt;0,-ABS((AK59-AK58)/(AL59-AK58)),MIN(1,ABS((AK59-AK58)/(AL59-AK58))))),IF(ABS((AK59-AK58))&lt;500,1,MIN(1,500/ABS((AK59-AK58))))))</f>
        <v/>
      </c>
      <c r="AP59">
        <f>IF(AND(ABS((AK59-AK58))&lt;500,ABS((AL59-AK58))&lt;500),1,IF(AND(ABS((AK59-AK58))&lt;500,ABS((AL59-AK58))&gt;=500),0,IF((AK59-AK58)*(AL59-AK58)&gt;0,1,0)))</f>
        <v/>
      </c>
    </row>
    <row r="60">
      <c r="A60" s="5" t="n">
        <v>45956</v>
      </c>
      <c r="B60" s="6" t="n">
        <v>49000</v>
      </c>
      <c r="C60" s="7" t="n">
        <v>49056.7</v>
      </c>
      <c r="D60">
        <f>ABS(B60-C60)</f>
        <v/>
      </c>
      <c r="E60" s="8">
        <f>IF(B60=0,"-",1-ABS(B60-C60)/B60)</f>
        <v/>
      </c>
      <c r="F60">
        <f>IF((C60-B59)&gt;=500,IF(ABS((B60-B59))&lt;500,"",IF((B60-B59)&lt;0,-ABS((B60-B59)/(C60-B59)),MIN(1,ABS((B60-B59)/(C60-B59))))),IF((C60-B59)&lt;=-500,IF(ABS((B60-B59))&lt;500,"",IF((B60-B59)&gt;0,-ABS((B60-B59)/(C60-B59)),MIN(1,ABS((B60-B59)/(C60-B59))))),IF(ABS((B60-B59))&lt;500,1,MIN(1,500/ABS((B60-B59))))))</f>
        <v/>
      </c>
      <c r="G60">
        <f>IF(AND(ABS((B60-B59))&lt;500,ABS((C60-B59))&lt;500),1,IF(AND(ABS((B60-B59))&lt;500,ABS((C60-B59))&gt;=500),0,IF((B60-B59)*(C60-B59)&gt;0,1,0)))</f>
        <v/>
      </c>
      <c r="I60" s="6" t="n">
        <v>47850</v>
      </c>
      <c r="J60" s="7" t="n">
        <v>47708.387</v>
      </c>
      <c r="K60">
        <f>ABS(I60-J60)</f>
        <v/>
      </c>
      <c r="L60" s="8">
        <f>IF(I60=0,"-",1-ABS(I60-J60)/I60)</f>
        <v/>
      </c>
      <c r="M60">
        <f>IF((J60-I59)&gt;=500,IF(ABS((I60-I59))&lt;500,"",IF((I60-I59)&lt;0,-ABS((I60-I59)/(J60-I59)),MIN(1,ABS((I60-I59)/(J60-I59))))),IF((J60-I59)&lt;=-500,IF(ABS((I60-I59))&lt;500,"",IF((I60-I59)&gt;0,-ABS((I60-I59)/(J60-I59)),MIN(1,ABS((I60-I59)/(J60-I59))))),IF(ABS((I60-I59))&lt;500,1,MIN(1,500/ABS((I60-I59))))))</f>
        <v/>
      </c>
      <c r="N60">
        <f>IF(AND(ABS((I60-I59))&lt;500,ABS((J60-I59))&lt;500),1,IF(AND(ABS((I60-I59))&lt;500,ABS((J60-I59))&gt;=500),0,IF((I60-I59)*(J60-I59)&gt;0,1,0)))</f>
        <v/>
      </c>
      <c r="P60" s="6" t="n">
        <v>47300</v>
      </c>
      <c r="Q60" s="7" t="n">
        <v>46862.18</v>
      </c>
      <c r="R60">
        <f>ABS(P60-Q60)</f>
        <v/>
      </c>
      <c r="S60" s="8">
        <f>IF(P60=0,"-",1-ABS(P60-Q60)/P60)</f>
        <v/>
      </c>
      <c r="T60">
        <f>IF((Q60-P59)&gt;=500,IF(ABS((P60-P59))&lt;500,"",IF((P60-P59)&lt;0,-ABS((P60-P59)/(Q60-P59)),MIN(1,ABS((P60-P59)/(Q60-P59))))),IF((Q60-P59)&lt;=-500,IF(ABS((P60-P59))&lt;500,"",IF((P60-P59)&gt;0,-ABS((P60-P59)/(Q60-P59)),MIN(1,ABS((P60-P59)/(Q60-P59))))),IF(ABS((P60-P59))&lt;500,1,MIN(1,500/ABS((P60-P59))))))</f>
        <v/>
      </c>
      <c r="U60">
        <f>IF(AND(ABS((P60-P59))&lt;500,ABS((Q60-P59))&lt;500),1,IF(AND(ABS((P60-P59))&lt;500,ABS((Q60-P59))&gt;=500),0,IF((P60-P59)*(Q60-P59)&gt;0,1,0)))</f>
        <v/>
      </c>
      <c r="W60" s="6" t="n">
        <v>42350</v>
      </c>
      <c r="X60" s="7" t="n">
        <v>42895.586</v>
      </c>
      <c r="Y60">
        <f>ABS(W60-X60)</f>
        <v/>
      </c>
      <c r="Z60" s="8">
        <f>IF(W60=0,"-",1-ABS(W60-X60)/W60)</f>
        <v/>
      </c>
      <c r="AA60">
        <f>IF((X60-W59)&gt;=500,IF(ABS((W60-W59))&lt;500,"",IF((W60-W59)&lt;0,-ABS((W60-W59)/(X60-W59)),MIN(1,ABS((W60-W59)/(X60-W59))))),IF((X60-W59)&lt;=-500,IF(ABS((W60-W59))&lt;500,"",IF((W60-W59)&gt;0,-ABS((W60-W59)/(X60-W59)),MIN(1,ABS((W60-W59)/(X60-W59))))),IF(ABS((W60-W59))&lt;500,1,MIN(1,500/ABS((W60-W59))))))</f>
        <v/>
      </c>
      <c r="AB60">
        <f>IF(AND(ABS((W60-W59))&lt;500,ABS((X60-W59))&lt;500),1,IF(AND(ABS((W60-W59))&lt;500,ABS((X60-W59))&gt;=500),0,IF((W60-W59)*(X60-W59)&gt;0,1,0)))</f>
        <v/>
      </c>
      <c r="AD60" s="6" t="n">
        <v>37916.67</v>
      </c>
      <c r="AE60" s="7" t="n">
        <v>38888.234</v>
      </c>
      <c r="AF60">
        <f>ABS(AD60-AE60)</f>
        <v/>
      </c>
      <c r="AG60" s="8">
        <f>IF(AD60=0,"-",1-ABS(AD60-AE60)/AD60)</f>
        <v/>
      </c>
      <c r="AH60">
        <f>IF((AE60-AD59)&gt;=500,IF(ABS((AD60-AD59))&lt;500,"",IF((AD60-AD59)&lt;0,-ABS((AD60-AD59)/(AE60-AD59)),MIN(1,ABS((AD60-AD59)/(AE60-AD59))))),IF((AE60-AD59)&lt;=-500,IF(ABS((AD60-AD59))&lt;500,"",IF((AD60-AD59)&gt;0,-ABS((AD60-AD59)/(AE60-AD59)),MIN(1,ABS((AD60-AD59)/(AE60-AD59))))),IF(ABS((AD60-AD59))&lt;500,1,MIN(1,500/ABS((AD60-AD59))))))</f>
        <v/>
      </c>
      <c r="AI60">
        <f>IF(AND(ABS((AD60-AD59))&lt;500,ABS((AE60-AD59))&lt;500),1,IF(AND(ABS((AD60-AD59))&lt;500,ABS((AE60-AD59))&gt;=500),0,IF((AD60-AD59)*(AE60-AD59)&gt;0,1,0)))</f>
        <v/>
      </c>
      <c r="AK60" s="6" t="n">
        <v>42666.67</v>
      </c>
      <c r="AL60" s="7" t="n">
        <v>43293.406</v>
      </c>
      <c r="AM60">
        <f>ABS(AK60-AL60)</f>
        <v/>
      </c>
      <c r="AN60" s="8">
        <f>IF(AK60=0,"-",1-ABS(AK60-AL60)/AK60)</f>
        <v/>
      </c>
      <c r="AO60">
        <f>IF((AL60-AK59)&gt;=500,IF(ABS((AK60-AK59))&lt;500,"",IF((AK60-AK59)&lt;0,-ABS((AK60-AK59)/(AL60-AK59)),MIN(1,ABS((AK60-AK59)/(AL60-AK59))))),IF((AL60-AK59)&lt;=-500,IF(ABS((AK60-AK59))&lt;500,"",IF((AK60-AK59)&gt;0,-ABS((AK60-AK59)/(AL60-AK59)),MIN(1,ABS((AK60-AK59)/(AL60-AK59))))),IF(ABS((AK60-AK59))&lt;500,1,MIN(1,500/ABS((AK60-AK59))))))</f>
        <v/>
      </c>
      <c r="AP60">
        <f>IF(AND(ABS((AK60-AK59))&lt;500,ABS((AL60-AK59))&lt;500),1,IF(AND(ABS((AK60-AK59))&lt;500,ABS((AL60-AK59))&gt;=500),0,IF((AK60-AK59)*(AL60-AK59)&gt;0,1,0)))</f>
        <v/>
      </c>
    </row>
    <row r="61">
      <c r="A61" s="5" t="n">
        <v>45963</v>
      </c>
      <c r="B61" s="6" t="n">
        <v>49000</v>
      </c>
      <c r="C61" s="7" t="n">
        <v>49016.84</v>
      </c>
      <c r="D61">
        <f>ABS(B61-C61)</f>
        <v/>
      </c>
      <c r="E61" s="8">
        <f>IF(B61=0,"-",1-ABS(B61-C61)/B61)</f>
        <v/>
      </c>
      <c r="F61">
        <f>IF((C61-B60)&gt;=500,IF(ABS((B61-B60))&lt;500,"",IF((B61-B60)&lt;0,-ABS((B61-B60)/(C61-B60)),MIN(1,ABS((B61-B60)/(C61-B60))))),IF((C61-B60)&lt;=-500,IF(ABS((B61-B60))&lt;500,"",IF((B61-B60)&gt;0,-ABS((B61-B60)/(C61-B60)),MIN(1,ABS((B61-B60)/(C61-B60))))),IF(ABS((B61-B60))&lt;500,1,MIN(1,500/ABS((B61-B60))))))</f>
        <v/>
      </c>
      <c r="G61">
        <f>IF(AND(ABS((B61-B60))&lt;500,ABS((C61-B60))&lt;500),1,IF(AND(ABS((B61-B60))&lt;500,ABS((C61-B60))&gt;=500),0,IF((B61-B60)*(C61-B60)&gt;0,1,0)))</f>
        <v/>
      </c>
      <c r="I61" s="6" t="n">
        <v>47200</v>
      </c>
      <c r="J61" s="7" t="n">
        <v>47819.59</v>
      </c>
      <c r="K61">
        <f>ABS(I61-J61)</f>
        <v/>
      </c>
      <c r="L61" s="8">
        <f>IF(I61=0,"-",1-ABS(I61-J61)/I61)</f>
        <v/>
      </c>
      <c r="M61">
        <f>IF((J61-I60)&gt;=500,IF(ABS((I61-I60))&lt;500,"",IF((I61-I60)&lt;0,-ABS((I61-I60)/(J61-I60)),MIN(1,ABS((I61-I60)/(J61-I60))))),IF((J61-I60)&lt;=-500,IF(ABS((I61-I60))&lt;500,"",IF((I61-I60)&gt;0,-ABS((I61-I60)/(J61-I60)),MIN(1,ABS((I61-I60)/(J61-I60))))),IF(ABS((I61-I60))&lt;500,1,MIN(1,500/ABS((I61-I60))))))</f>
        <v/>
      </c>
      <c r="N61">
        <f>IF(AND(ABS((I61-I60))&lt;500,ABS((J61-I60))&lt;500),1,IF(AND(ABS((I61-I60))&lt;500,ABS((J61-I60))&gt;=500),0,IF((I61-I60)*(J61-I60)&gt;0,1,0)))</f>
        <v/>
      </c>
      <c r="P61" s="6" t="n">
        <v>47800</v>
      </c>
      <c r="Q61" s="7" t="n">
        <v>47396.973</v>
      </c>
      <c r="R61">
        <f>ABS(P61-Q61)</f>
        <v/>
      </c>
      <c r="S61" s="8">
        <f>IF(P61=0,"-",1-ABS(P61-Q61)/P61)</f>
        <v/>
      </c>
      <c r="T61">
        <f>IF((Q61-P60)&gt;=500,IF(ABS((P61-P60))&lt;500,"",IF((P61-P60)&lt;0,-ABS((P61-P60)/(Q61-P60)),MIN(1,ABS((P61-P60)/(Q61-P60))))),IF((Q61-P60)&lt;=-500,IF(ABS((P61-P60))&lt;500,"",IF((P61-P60)&gt;0,-ABS((P61-P60)/(Q61-P60)),MIN(1,ABS((P61-P60)/(Q61-P60))))),IF(ABS((P61-P60))&lt;500,1,MIN(1,500/ABS((P61-P60))))))</f>
        <v/>
      </c>
      <c r="U61">
        <f>IF(AND(ABS((P61-P60))&lt;500,ABS((Q61-P60))&lt;500),1,IF(AND(ABS((P61-P60))&lt;500,ABS((Q61-P60))&gt;=500),0,IF((P61-P60)*(Q61-P60)&gt;0,1,0)))</f>
        <v/>
      </c>
      <c r="W61" s="6" t="n">
        <v>41533.33</v>
      </c>
      <c r="X61" s="7" t="n">
        <v>42692.926</v>
      </c>
      <c r="Y61">
        <f>ABS(W61-X61)</f>
        <v/>
      </c>
      <c r="Z61" s="8">
        <f>IF(W61=0,"-",1-ABS(W61-X61)/W61)</f>
        <v/>
      </c>
      <c r="AA61">
        <f>IF((X61-W60)&gt;=500,IF(ABS((W61-W60))&lt;500,"",IF((W61-W60)&lt;0,-ABS((W61-W60)/(X61-W60)),MIN(1,ABS((W61-W60)/(X61-W60))))),IF((X61-W60)&lt;=-500,IF(ABS((W61-W60))&lt;500,"",IF((W61-W60)&gt;0,-ABS((W61-W60)/(X61-W60)),MIN(1,ABS((W61-W60)/(X61-W60))))),IF(ABS((W61-W60))&lt;500,1,MIN(1,500/ABS((W61-W60))))))</f>
        <v/>
      </c>
      <c r="AB61">
        <f>IF(AND(ABS((W61-W60))&lt;500,ABS((X61-W60))&lt;500),1,IF(AND(ABS((W61-W60))&lt;500,ABS((X61-W60))&gt;=500),0,IF((W61-W60)*(X61-W60)&gt;0,1,0)))</f>
        <v/>
      </c>
      <c r="AD61" s="6" t="n">
        <v>37433.33</v>
      </c>
      <c r="AE61" s="7" t="n">
        <v>38394.688</v>
      </c>
      <c r="AF61">
        <f>ABS(AD61-AE61)</f>
        <v/>
      </c>
      <c r="AG61" s="8">
        <f>IF(AD61=0,"-",1-ABS(AD61-AE61)/AD61)</f>
        <v/>
      </c>
      <c r="AH61">
        <f>IF((AE61-AD60)&gt;=500,IF(ABS((AD61-AD60))&lt;500,"",IF((AD61-AD60)&lt;0,-ABS((AD61-AD60)/(AE61-AD60)),MIN(1,ABS((AD61-AD60)/(AE61-AD60))))),IF((AE61-AD60)&lt;=-500,IF(ABS((AD61-AD60))&lt;500,"",IF((AD61-AD60)&gt;0,-ABS((AD61-AD60)/(AE61-AD60)),MIN(1,ABS((AD61-AD60)/(AE61-AD60))))),IF(ABS((AD61-AD60))&lt;500,1,MIN(1,500/ABS((AD61-AD60))))))</f>
        <v/>
      </c>
      <c r="AI61">
        <f>IF(AND(ABS((AD61-AD60))&lt;500,ABS((AE61-AD60))&lt;500),1,IF(AND(ABS((AD61-AD60))&lt;500,ABS((AE61-AD60))&gt;=500),0,IF((AD61-AD60)*(AE61-AD60)&gt;0,1,0)))</f>
        <v/>
      </c>
      <c r="AK61" s="6" t="n">
        <v>42883.33</v>
      </c>
      <c r="AL61" s="7" t="n">
        <v>42792.297</v>
      </c>
      <c r="AM61">
        <f>ABS(AK61-AL61)</f>
        <v/>
      </c>
      <c r="AN61" s="8">
        <f>IF(AK61=0,"-",1-ABS(AK61-AL61)/AK61)</f>
        <v/>
      </c>
      <c r="AO61">
        <f>IF((AL61-AK60)&gt;=500,IF(ABS((AK61-AK60))&lt;500,"",IF((AK61-AK60)&lt;0,-ABS((AK61-AK60)/(AL61-AK60)),MIN(1,ABS((AK61-AK60)/(AL61-AK60))))),IF((AL61-AK60)&lt;=-500,IF(ABS((AK61-AK60))&lt;500,"",IF((AK61-AK60)&gt;0,-ABS((AK61-AK60)/(AL61-AK60)),MIN(1,ABS((AK61-AK60)/(AL61-AK60))))),IF(ABS((AK61-AK60))&lt;500,1,MIN(1,500/ABS((AK61-AK60))))))</f>
        <v/>
      </c>
      <c r="AP61">
        <f>IF(AND(ABS((AK61-AK60))&lt;500,ABS((AL61-AK60))&lt;500),1,IF(AND(ABS((AK61-AK60))&lt;500,ABS((AL61-AK60))&gt;=500),0,IF((AK61-AK60)*(AL61-AK60)&gt;0,1,0)))</f>
        <v/>
      </c>
    </row>
    <row r="62">
      <c r="A62" s="5" t="n">
        <v>45970</v>
      </c>
      <c r="B62" s="6" t="n">
        <v>49600</v>
      </c>
      <c r="C62" s="7" t="n">
        <v>48971.75</v>
      </c>
      <c r="D62">
        <f>ABS(B62-C62)</f>
        <v/>
      </c>
      <c r="E62" s="8">
        <f>IF(B62=0,"-",1-ABS(B62-C62)/B62)</f>
        <v/>
      </c>
      <c r="F62">
        <f>IF((C62-B61)&gt;=500,IF(ABS((B62-B61))&lt;500,"",IF((B62-B61)&lt;0,-ABS((B62-B61)/(C62-B61)),MIN(1,ABS((B62-B61)/(C62-B61))))),IF((C62-B61)&lt;=-500,IF(ABS((B62-B61))&lt;500,"",IF((B62-B61)&gt;0,-ABS((B62-B61)/(C62-B61)),MIN(1,ABS((B62-B61)/(C62-B61))))),IF(ABS((B62-B61))&lt;500,1,MIN(1,500/ABS((B62-B61))))))</f>
        <v/>
      </c>
      <c r="G62">
        <f>IF(AND(ABS((B62-B61))&lt;500,ABS((C62-B61))&lt;500),1,IF(AND(ABS((B62-B61))&lt;500,ABS((C62-B61))&gt;=500),0,IF((B62-B61)*(C62-B61)&gt;0,1,0)))</f>
        <v/>
      </c>
      <c r="I62" s="6" t="n">
        <v>47450</v>
      </c>
      <c r="J62" s="7" t="n">
        <v>47108.84</v>
      </c>
      <c r="K62">
        <f>ABS(I62-J62)</f>
        <v/>
      </c>
      <c r="L62" s="8">
        <f>IF(I62=0,"-",1-ABS(I62-J62)/I62)</f>
        <v/>
      </c>
      <c r="M62">
        <f>IF((J62-I61)&gt;=500,IF(ABS((I62-I61))&lt;500,"",IF((I62-I61)&lt;0,-ABS((I62-I61)/(J62-I61)),MIN(1,ABS((I62-I61)/(J62-I61))))),IF((J62-I61)&lt;=-500,IF(ABS((I62-I61))&lt;500,"",IF((I62-I61)&gt;0,-ABS((I62-I61)/(J62-I61)),MIN(1,ABS((I62-I61)/(J62-I61))))),IF(ABS((I62-I61))&lt;500,1,MIN(1,500/ABS((I62-I61))))))</f>
        <v/>
      </c>
      <c r="N62">
        <f>IF(AND(ABS((I62-I61))&lt;500,ABS((J62-I61))&lt;500),1,IF(AND(ABS((I62-I61))&lt;500,ABS((J62-I61))&gt;=500),0,IF((I62-I61)*(J62-I61)&gt;0,1,0)))</f>
        <v/>
      </c>
      <c r="P62" s="6" t="n">
        <v>47300</v>
      </c>
      <c r="Q62" s="7" t="n">
        <v>47805.633</v>
      </c>
      <c r="R62">
        <f>ABS(P62-Q62)</f>
        <v/>
      </c>
      <c r="S62" s="8">
        <f>IF(P62=0,"-",1-ABS(P62-Q62)/P62)</f>
        <v/>
      </c>
      <c r="T62">
        <f>IF((Q62-P61)&gt;=500,IF(ABS((P62-P61))&lt;500,"",IF((P62-P61)&lt;0,-ABS((P62-P61)/(Q62-P61)),MIN(1,ABS((P62-P61)/(Q62-P61))))),IF((Q62-P61)&lt;=-500,IF(ABS((P62-P61))&lt;500,"",IF((P62-P61)&gt;0,-ABS((P62-P61)/(Q62-P61)),MIN(1,ABS((P62-P61)/(Q62-P61))))),IF(ABS((P62-P61))&lt;500,1,MIN(1,500/ABS((P62-P61))))))</f>
        <v/>
      </c>
      <c r="U62">
        <f>IF(AND(ABS((P62-P61))&lt;500,ABS((Q62-P61))&lt;500),1,IF(AND(ABS((P62-P61))&lt;500,ABS((Q62-P61))&gt;=500),0,IF((P62-P61)*(Q62-P61)&gt;0,1,0)))</f>
        <v/>
      </c>
      <c r="W62" s="6" t="n">
        <v>41766.67</v>
      </c>
      <c r="X62" s="7" t="n">
        <v>41846.53</v>
      </c>
      <c r="Y62">
        <f>ABS(W62-X62)</f>
        <v/>
      </c>
      <c r="Z62" s="8">
        <f>IF(W62=0,"-",1-ABS(W62-X62)/W62)</f>
        <v/>
      </c>
      <c r="AA62">
        <f>IF((X62-W61)&gt;=500,IF(ABS((W62-W61))&lt;500,"",IF((W62-W61)&lt;0,-ABS((W62-W61)/(X62-W61)),MIN(1,ABS((W62-W61)/(X62-W61))))),IF((X62-W61)&lt;=-500,IF(ABS((W62-W61))&lt;500,"",IF((W62-W61)&gt;0,-ABS((W62-W61)/(X62-W61)),MIN(1,ABS((W62-W61)/(X62-W61))))),IF(ABS((W62-W61))&lt;500,1,MIN(1,500/ABS((W62-W61))))))</f>
        <v/>
      </c>
      <c r="AB62">
        <f>IF(AND(ABS((W62-W61))&lt;500,ABS((X62-W61))&lt;500),1,IF(AND(ABS((W62-W61))&lt;500,ABS((X62-W61))&gt;=500),0,IF((W62-W61)*(X62-W61)&gt;0,1,0)))</f>
        <v/>
      </c>
      <c r="AD62" s="6" t="n">
        <v>37683.33</v>
      </c>
      <c r="AE62" s="7" t="n">
        <v>37845.508</v>
      </c>
      <c r="AF62">
        <f>ABS(AD62-AE62)</f>
        <v/>
      </c>
      <c r="AG62" s="8">
        <f>IF(AD62=0,"-",1-ABS(AD62-AE62)/AD62)</f>
        <v/>
      </c>
      <c r="AH62">
        <f>IF((AE62-AD61)&gt;=500,IF(ABS((AD62-AD61))&lt;500,"",IF((AD62-AD61)&lt;0,-ABS((AD62-AD61)/(AE62-AD61)),MIN(1,ABS((AD62-AD61)/(AE62-AD61))))),IF((AE62-AD61)&lt;=-500,IF(ABS((AD62-AD61))&lt;500,"",IF((AD62-AD61)&gt;0,-ABS((AD62-AD61)/(AE62-AD61)),MIN(1,ABS((AD62-AD61)/(AE62-AD61))))),IF(ABS((AD62-AD61))&lt;500,1,MIN(1,500/ABS((AD62-AD61))))))</f>
        <v/>
      </c>
      <c r="AI62">
        <f>IF(AND(ABS((AD62-AD61))&lt;500,ABS((AE62-AD61))&lt;500),1,IF(AND(ABS((AD62-AD61))&lt;500,ABS((AE62-AD61))&gt;=500),0,IF((AD62-AD61)*(AE62-AD61)&gt;0,1,0)))</f>
        <v/>
      </c>
      <c r="AK62" s="6" t="n">
        <v>42833.33</v>
      </c>
      <c r="AL62" s="7" t="n">
        <v>43044.688</v>
      </c>
      <c r="AM62">
        <f>ABS(AK62-AL62)</f>
        <v/>
      </c>
      <c r="AN62" s="8">
        <f>IF(AK62=0,"-",1-ABS(AK62-AL62)/AK62)</f>
        <v/>
      </c>
      <c r="AO62">
        <f>IF((AL62-AK61)&gt;=500,IF(ABS((AK62-AK61))&lt;500,"",IF((AK62-AK61)&lt;0,-ABS((AK62-AK61)/(AL62-AK61)),MIN(1,ABS((AK62-AK61)/(AL62-AK61))))),IF((AL62-AK61)&lt;=-500,IF(ABS((AK62-AK61))&lt;500,"",IF((AK62-AK61)&gt;0,-ABS((AK62-AK61)/(AL62-AK61)),MIN(1,ABS((AK62-AK61)/(AL62-AK61))))),IF(ABS((AK62-AK61))&lt;500,1,MIN(1,500/ABS((AK62-AK61))))))</f>
        <v/>
      </c>
      <c r="AP62">
        <f>IF(AND(ABS((AK62-AK61))&lt;500,ABS((AL62-AK61))&lt;500),1,IF(AND(ABS((AK62-AK61))&lt;500,ABS((AL62-AK61))&gt;=500),0,IF((AK62-AK61)*(AL62-AK61)&gt;0,1,0)))</f>
        <v/>
      </c>
    </row>
    <row r="63">
      <c r="A63" s="5" t="n">
        <v>45977</v>
      </c>
      <c r="B63" s="6" t="n">
        <v>49600</v>
      </c>
      <c r="C63" s="7" t="n">
        <v>49622.824</v>
      </c>
      <c r="D63">
        <f>ABS(B63-C63)</f>
        <v/>
      </c>
      <c r="E63" s="8">
        <f>IF(B63=0,"-",1-ABS(B63-C63)/B63)</f>
        <v/>
      </c>
      <c r="F63">
        <f>IF((C63-B62)&gt;=500,IF(ABS((B63-B62))&lt;500,"",IF((B63-B62)&lt;0,-ABS((B63-B62)/(C63-B62)),MIN(1,ABS((B63-B62)/(C63-B62))))),IF((C63-B62)&lt;=-500,IF(ABS((B63-B62))&lt;500,"",IF((B63-B62)&gt;0,-ABS((B63-B62)/(C63-B62)),MIN(1,ABS((B63-B62)/(C63-B62))))),IF(ABS((B63-B62))&lt;500,1,MIN(1,500/ABS((B63-B62))))))</f>
        <v/>
      </c>
      <c r="G63">
        <f>IF(AND(ABS((B63-B62))&lt;500,ABS((C63-B62))&lt;500),1,IF(AND(ABS((B63-B62))&lt;500,ABS((C63-B62))&gt;=500),0,IF((B63-B62)*(C63-B62)&gt;0,1,0)))</f>
        <v/>
      </c>
      <c r="I63" s="6" t="n">
        <v>47000</v>
      </c>
      <c r="J63" s="7" t="n">
        <v>47570.703</v>
      </c>
      <c r="K63">
        <f>ABS(I63-J63)</f>
        <v/>
      </c>
      <c r="L63" s="8">
        <f>IF(I63=0,"-",1-ABS(I63-J63)/I63)</f>
        <v/>
      </c>
      <c r="M63">
        <f>IF((J63-I62)&gt;=500,IF(ABS((I63-I62))&lt;500,"",IF((I63-I62)&lt;0,-ABS((I63-I62)/(J63-I62)),MIN(1,ABS((I63-I62)/(J63-I62))))),IF((J63-I62)&lt;=-500,IF(ABS((I63-I62))&lt;500,"",IF((I63-I62)&gt;0,-ABS((I63-I62)/(J63-I62)),MIN(1,ABS((I63-I62)/(J63-I62))))),IF(ABS((I63-I62))&lt;500,1,MIN(1,500/ABS((I63-I62))))))</f>
        <v/>
      </c>
      <c r="N63">
        <f>IF(AND(ABS((I63-I62))&lt;500,ABS((J63-I62))&lt;500),1,IF(AND(ABS((I63-I62))&lt;500,ABS((J63-I62))&gt;=500),0,IF((I63-I62)*(J63-I62)&gt;0,1,0)))</f>
        <v/>
      </c>
      <c r="P63" s="6" t="n">
        <v>46600</v>
      </c>
      <c r="Q63" s="7" t="n">
        <v>47309.105</v>
      </c>
      <c r="R63">
        <f>ABS(P63-Q63)</f>
        <v/>
      </c>
      <c r="S63" s="8">
        <f>IF(P63=0,"-",1-ABS(P63-Q63)/P63)</f>
        <v/>
      </c>
      <c r="T63">
        <f>IF((Q63-P62)&gt;=500,IF(ABS((P63-P62))&lt;500,"",IF((P63-P62)&lt;0,-ABS((P63-P62)/(Q63-P62)),MIN(1,ABS((P63-P62)/(Q63-P62))))),IF((Q63-P62)&lt;=-500,IF(ABS((P63-P62))&lt;500,"",IF((P63-P62)&gt;0,-ABS((P63-P62)/(Q63-P62)),MIN(1,ABS((P63-P62)/(Q63-P62))))),IF(ABS((P63-P62))&lt;500,1,MIN(1,500/ABS((P63-P62))))))</f>
        <v/>
      </c>
      <c r="U63">
        <f>IF(AND(ABS((P63-P62))&lt;500,ABS((Q63-P62))&lt;500),1,IF(AND(ABS((P63-P62))&lt;500,ABS((Q63-P62))&gt;=500),0,IF((P63-P62)*(Q63-P62)&gt;0,1,0)))</f>
        <v/>
      </c>
      <c r="W63" s="6" t="n">
        <v>42933.33</v>
      </c>
      <c r="X63" s="7" t="n">
        <v>41983.117</v>
      </c>
      <c r="Y63">
        <f>ABS(W63-X63)</f>
        <v/>
      </c>
      <c r="Z63" s="8">
        <f>IF(W63=0,"-",1-ABS(W63-X63)/W63)</f>
        <v/>
      </c>
      <c r="AA63">
        <f>IF((X63-W62)&gt;=500,IF(ABS((W63-W62))&lt;500,"",IF((W63-W62)&lt;0,-ABS((W63-W62)/(X63-W62)),MIN(1,ABS((W63-W62)/(X63-W62))))),IF((X63-W62)&lt;=-500,IF(ABS((W63-W62))&lt;500,"",IF((W63-W62)&gt;0,-ABS((W63-W62)/(X63-W62)),MIN(1,ABS((W63-W62)/(X63-W62))))),IF(ABS((W63-W62))&lt;500,1,MIN(1,500/ABS((W63-W62))))))</f>
        <v/>
      </c>
      <c r="AB63">
        <f>IF(AND(ABS((W63-W62))&lt;500,ABS((X63-W62))&lt;500),1,IF(AND(ABS((W63-W62))&lt;500,ABS((X63-W62))&gt;=500),0,IF((W63-W62)*(X63-W62)&gt;0,1,0)))</f>
        <v/>
      </c>
      <c r="AD63" s="6" t="n">
        <v>37900</v>
      </c>
      <c r="AE63" s="7" t="n">
        <v>37876.793</v>
      </c>
      <c r="AF63">
        <f>ABS(AD63-AE63)</f>
        <v/>
      </c>
      <c r="AG63" s="8">
        <f>IF(AD63=0,"-",1-ABS(AD63-AE63)/AD63)</f>
        <v/>
      </c>
      <c r="AH63">
        <f>IF((AE63-AD62)&gt;=500,IF(ABS((AD63-AD62))&lt;500,"",IF((AD63-AD62)&lt;0,-ABS((AD63-AD62)/(AE63-AD62)),MIN(1,ABS((AD63-AD62)/(AE63-AD62))))),IF((AE63-AD62)&lt;=-500,IF(ABS((AD63-AD62))&lt;500,"",IF((AD63-AD62)&gt;0,-ABS((AD63-AD62)/(AE63-AD62)),MIN(1,ABS((AD63-AD62)/(AE63-AD62))))),IF(ABS((AD63-AD62))&lt;500,1,MIN(1,500/ABS((AD63-AD62))))))</f>
        <v/>
      </c>
      <c r="AI63">
        <f>IF(AND(ABS((AD63-AD62))&lt;500,ABS((AE63-AD62))&lt;500),1,IF(AND(ABS((AD63-AD62))&lt;500,ABS((AE63-AD62))&gt;=500),0,IF((AD63-AD62)*(AE63-AD62)&gt;0,1,0)))</f>
        <v/>
      </c>
      <c r="AK63" s="6" t="n">
        <v>43050</v>
      </c>
      <c r="AL63" s="7" t="n">
        <v>42936.01</v>
      </c>
      <c r="AM63">
        <f>ABS(AK63-AL63)</f>
        <v/>
      </c>
      <c r="AN63" s="8">
        <f>IF(AK63=0,"-",1-ABS(AK63-AL63)/AK63)</f>
        <v/>
      </c>
      <c r="AO63">
        <f>IF((AL63-AK62)&gt;=500,IF(ABS((AK63-AK62))&lt;500,"",IF((AK63-AK62)&lt;0,-ABS((AK63-AK62)/(AL63-AK62)),MIN(1,ABS((AK63-AK62)/(AL63-AK62))))),IF((AL63-AK62)&lt;=-500,IF(ABS((AK63-AK62))&lt;500,"",IF((AK63-AK62)&gt;0,-ABS((AK63-AK62)/(AL63-AK62)),MIN(1,ABS((AK63-AK62)/(AL63-AK62))))),IF(ABS((AK63-AK62))&lt;500,1,MIN(1,500/ABS((AK63-AK62))))))</f>
        <v/>
      </c>
      <c r="AP63">
        <f>IF(AND(ABS((AK63-AK62))&lt;500,ABS((AL63-AK62))&lt;500),1,IF(AND(ABS((AK63-AK62))&lt;500,ABS((AL63-AK62))&gt;=500),0,IF((AK63-AK62)*(AL63-AK62)&gt;0,1,0)))</f>
        <v/>
      </c>
    </row>
    <row r="64">
      <c r="A64" s="5" t="n">
        <v>45984</v>
      </c>
      <c r="B64" s="6" t="n">
        <v>49000</v>
      </c>
      <c r="C64" s="7" t="n">
        <v>49447.203</v>
      </c>
      <c r="D64">
        <f>ABS(B64-C64)</f>
        <v/>
      </c>
      <c r="E64" s="8">
        <f>IF(B64=0,"-",1-ABS(B64-C64)/B64)</f>
        <v/>
      </c>
      <c r="F64">
        <f>IF((C64-B63)&gt;=500,IF(ABS((B64-B63))&lt;500,"",IF((B64-B63)&lt;0,-ABS((B64-B63)/(C64-B63)),MIN(1,ABS((B64-B63)/(C64-B63))))),IF((C64-B63)&lt;=-500,IF(ABS((B64-B63))&lt;500,"",IF((B64-B63)&gt;0,-ABS((B64-B63)/(C64-B63)),MIN(1,ABS((B64-B63)/(C64-B63))))),IF(ABS((B64-B63))&lt;500,1,MIN(1,500/ABS((B64-B63))))))</f>
        <v/>
      </c>
      <c r="G64">
        <f>IF(AND(ABS((B64-B63))&lt;500,ABS((C64-B63))&lt;500),1,IF(AND(ABS((B64-B63))&lt;500,ABS((C64-B63))&gt;=500),0,IF((B64-B63)*(C64-B63)&gt;0,1,0)))</f>
        <v/>
      </c>
      <c r="H64" s="9">
        <f>COUNTIF(G64:G75,1)&amp;"/"&amp;COUNT(G64:G75)</f>
        <v/>
      </c>
      <c r="I64" s="6" t="n">
        <v>46450</v>
      </c>
      <c r="J64" s="7" t="n">
        <v>46922.277</v>
      </c>
      <c r="K64">
        <f>ABS(I64-J64)</f>
        <v/>
      </c>
      <c r="L64" s="8">
        <f>IF(I64=0,"-",1-ABS(I64-J64)/I64)</f>
        <v/>
      </c>
      <c r="M64">
        <f>IF((J64-I63)&gt;=500,IF(ABS((I64-I63))&lt;500,"",IF((I64-I63)&lt;0,-ABS((I64-I63)/(J64-I63)),MIN(1,ABS((I64-I63)/(J64-I63))))),IF((J64-I63)&lt;=-500,IF(ABS((I64-I63))&lt;500,"",IF((I64-I63)&gt;0,-ABS((I64-I63)/(J64-I63)),MIN(1,ABS((I64-I63)/(J64-I63))))),IF(ABS((I64-I63))&lt;500,1,MIN(1,500/ABS((I64-I63))))))</f>
        <v/>
      </c>
      <c r="N64">
        <f>IF(AND(ABS((I64-I63))&lt;500,ABS((J64-I63))&lt;500),1,IF(AND(ABS((I64-I63))&lt;500,ABS((J64-I63))&gt;=500),0,IF((I64-I63)*(J64-I63)&gt;0,1,0)))</f>
        <v/>
      </c>
      <c r="O64" s="9">
        <f>COUNTIF(N64:N75,1)&amp;"/"&amp;COUNT(N64:N75)</f>
        <v/>
      </c>
      <c r="P64" s="6" t="n">
        <v>46300</v>
      </c>
      <c r="Q64" s="7" t="n">
        <v>46971.363</v>
      </c>
      <c r="R64">
        <f>ABS(P64-Q64)</f>
        <v/>
      </c>
      <c r="S64" s="8">
        <f>IF(P64=0,"-",1-ABS(P64-Q64)/P64)</f>
        <v/>
      </c>
      <c r="T64">
        <f>IF((Q64-P63)&gt;=500,IF(ABS((P64-P63))&lt;500,"",IF((P64-P63)&lt;0,-ABS((P64-P63)/(Q64-P63)),MIN(1,ABS((P64-P63)/(Q64-P63))))),IF((Q64-P63)&lt;=-500,IF(ABS((P64-P63))&lt;500,"",IF((P64-P63)&gt;0,-ABS((P64-P63)/(Q64-P63)),MIN(1,ABS((P64-P63)/(Q64-P63))))),IF(ABS((P64-P63))&lt;500,1,MIN(1,500/ABS((P64-P63))))))</f>
        <v/>
      </c>
      <c r="U64">
        <f>IF(AND(ABS((P64-P63))&lt;500,ABS((Q64-P63))&lt;500),1,IF(AND(ABS((P64-P63))&lt;500,ABS((Q64-P63))&gt;=500),0,IF((P64-P63)*(Q64-P63)&gt;0,1,0)))</f>
        <v/>
      </c>
      <c r="V64" s="9">
        <f>COUNTIF(U64:U75,1)&amp;"/"&amp;COUNT(U64:U75)</f>
        <v/>
      </c>
      <c r="W64" s="6" t="n">
        <v>42483.33</v>
      </c>
      <c r="X64" s="7" t="n">
        <v>43177.73</v>
      </c>
      <c r="Y64">
        <f>ABS(W64-X64)</f>
        <v/>
      </c>
      <c r="Z64" s="8">
        <f>IF(W64=0,"-",1-ABS(W64-X64)/W64)</f>
        <v/>
      </c>
      <c r="AA64">
        <f>IF((X64-W63)&gt;=500,IF(ABS((W64-W63))&lt;500,"",IF((W64-W63)&lt;0,-ABS((W64-W63)/(X64-W63)),MIN(1,ABS((W64-W63)/(X64-W63))))),IF((X64-W63)&lt;=-500,IF(ABS((W64-W63))&lt;500,"",IF((W64-W63)&gt;0,-ABS((W64-W63)/(X64-W63)),MIN(1,ABS((W64-W63)/(X64-W63))))),IF(ABS((W64-W63))&lt;500,1,MIN(1,500/ABS((W64-W63))))))</f>
        <v/>
      </c>
      <c r="AB64">
        <f>IF(AND(ABS((W64-W63))&lt;500,ABS((X64-W63))&lt;500),1,IF(AND(ABS((W64-W63))&lt;500,ABS((X64-W63))&gt;=500),0,IF((W64-W63)*(X64-W63)&gt;0,1,0)))</f>
        <v/>
      </c>
      <c r="AC64" s="9">
        <f>COUNTIF(AB64:AB75,1)&amp;"/"&amp;COUNT(AB64:AB75)</f>
        <v/>
      </c>
      <c r="AD64" s="6" t="n">
        <v>37933.33</v>
      </c>
      <c r="AE64" s="7" t="n">
        <v>37931.082</v>
      </c>
      <c r="AF64">
        <f>ABS(AD64-AE64)</f>
        <v/>
      </c>
      <c r="AG64" s="8">
        <f>IF(AD64=0,"-",1-ABS(AD64-AE64)/AD64)</f>
        <v/>
      </c>
      <c r="AH64">
        <f>IF((AE64-AD63)&gt;=500,IF(ABS((AD64-AD63))&lt;500,"",IF((AD64-AD63)&lt;0,-ABS((AD64-AD63)/(AE64-AD63)),MIN(1,ABS((AD64-AD63)/(AE64-AD63))))),IF((AE64-AD63)&lt;=-500,IF(ABS((AD64-AD63))&lt;500,"",IF((AD64-AD63)&gt;0,-ABS((AD64-AD63)/(AE64-AD63)),MIN(1,ABS((AD64-AD63)/(AE64-AD63))))),IF(ABS((AD64-AD63))&lt;500,1,MIN(1,500/ABS((AD64-AD63))))))</f>
        <v/>
      </c>
      <c r="AI64">
        <f>IF(AND(ABS((AD64-AD63))&lt;500,ABS((AE64-AD63))&lt;500),1,IF(AND(ABS((AD64-AD63))&lt;500,ABS((AE64-AD63))&gt;=500),0,IF((AD64-AD63)*(AE64-AD63)&gt;0,1,0)))</f>
        <v/>
      </c>
      <c r="AJ64" s="9">
        <f>COUNTIF(AI64:AI75,1)&amp;"/"&amp;COUNT(AI64:AI75)</f>
        <v/>
      </c>
      <c r="AK64" s="6" t="n">
        <v>43483.33</v>
      </c>
      <c r="AL64" s="7" t="n">
        <v>43076.008</v>
      </c>
      <c r="AM64">
        <f>ABS(AK64-AL64)</f>
        <v/>
      </c>
      <c r="AN64" s="8">
        <f>IF(AK64=0,"-",1-ABS(AK64-AL64)/AK64)</f>
        <v/>
      </c>
      <c r="AO64">
        <f>IF((AL64-AK63)&gt;=500,IF(ABS((AK64-AK63))&lt;500,"",IF((AK64-AK63)&lt;0,-ABS((AK64-AK63)/(AL64-AK63)),MIN(1,ABS((AK64-AK63)/(AL64-AK63))))),IF((AL64-AK63)&lt;=-500,IF(ABS((AK64-AK63))&lt;500,"",IF((AK64-AK63)&gt;0,-ABS((AK64-AK63)/(AL64-AK63)),MIN(1,ABS((AK64-AK63)/(AL64-AK63))))),IF(ABS((AK64-AK63))&lt;500,1,MIN(1,500/ABS((AK64-AK63))))))</f>
        <v/>
      </c>
      <c r="AP64">
        <f>IF(AND(ABS((AK64-AK63))&lt;500,ABS((AL64-AK63))&lt;500),1,IF(AND(ABS((AK64-AK63))&lt;500,ABS((AL64-AK63))&gt;=500),0,IF((AK64-AK63)*(AL64-AK63)&gt;0,1,0)))</f>
        <v/>
      </c>
      <c r="AQ64" s="9">
        <f>COUNTIF(AP64:AP75,1)&amp;"/"&amp;COUNT(AP64:AP75)</f>
        <v/>
      </c>
    </row>
    <row r="65">
      <c r="A65" s="5" t="n">
        <v>45991</v>
      </c>
      <c r="B65" s="6" t="n">
        <v>48600</v>
      </c>
      <c r="C65" s="7" t="n">
        <v>48744.125</v>
      </c>
      <c r="D65">
        <f>ABS(B65-C65)</f>
        <v/>
      </c>
      <c r="E65" s="8">
        <f>IF(B65=0,"-",1-ABS(B65-C65)/B65)</f>
        <v/>
      </c>
      <c r="F65">
        <f>IF((C65-B64)&gt;=500,IF(ABS((B65-B64))&lt;500,"",IF((B65-B64)&lt;0,-ABS((B65-B64)/(C65-B64)),MIN(1,ABS((B65-B64)/(C65-B64))))),IF((C65-B64)&lt;=-500,IF(ABS((B65-B64))&lt;500,"",IF((B65-B64)&gt;0,-ABS((B65-B64)/(C65-B64)),MIN(1,ABS((B65-B64)/(C65-B64))))),IF(ABS((B65-B64))&lt;500,1,MIN(1,500/ABS((B65-B64))))))</f>
        <v/>
      </c>
      <c r="G65">
        <f>IF(AND(ABS((B65-B64))&lt;500,ABS((C65-B64))&lt;500),1,IF(AND(ABS((B65-B64))&lt;500,ABS((C65-B64))&gt;=500),0,IF((B65-B64)*(C65-B64)&gt;0,1,0)))</f>
        <v/>
      </c>
      <c r="I65" s="6" t="n">
        <v>46100</v>
      </c>
      <c r="J65" s="7" t="n">
        <v>46342.016</v>
      </c>
      <c r="K65">
        <f>ABS(I65-J65)</f>
        <v/>
      </c>
      <c r="L65" s="8">
        <f>IF(I65=0,"-",1-ABS(I65-J65)/I65)</f>
        <v/>
      </c>
      <c r="M65">
        <f>IF((J65-I64)&gt;=500,IF(ABS((I65-I64))&lt;500,"",IF((I65-I64)&lt;0,-ABS((I65-I64)/(J65-I64)),MIN(1,ABS((I65-I64)/(J65-I64))))),IF((J65-I64)&lt;=-500,IF(ABS((I65-I64))&lt;500,"",IF((I65-I64)&gt;0,-ABS((I65-I64)/(J65-I64)),MIN(1,ABS((I65-I64)/(J65-I64))))),IF(ABS((I65-I64))&lt;500,1,MIN(1,500/ABS((I65-I64))))))</f>
        <v/>
      </c>
      <c r="N65">
        <f>IF(AND(ABS((I65-I64))&lt;500,ABS((J65-I64))&lt;500),1,IF(AND(ABS((I65-I64))&lt;500,ABS((J65-I64))&gt;=500),0,IF((I65-I64)*(J65-I64)&gt;0,1,0)))</f>
        <v/>
      </c>
      <c r="P65" s="6" t="n">
        <v>47000</v>
      </c>
      <c r="Q65" s="7" t="n">
        <v>46750.65</v>
      </c>
      <c r="R65">
        <f>ABS(P65-Q65)</f>
        <v/>
      </c>
      <c r="S65" s="8">
        <f>IF(P65=0,"-",1-ABS(P65-Q65)/P65)</f>
        <v/>
      </c>
      <c r="T65">
        <f>IF((Q65-P64)&gt;=500,IF(ABS((P65-P64))&lt;500,"",IF((P65-P64)&lt;0,-ABS((P65-P64)/(Q65-P64)),MIN(1,ABS((P65-P64)/(Q65-P64))))),IF((Q65-P64)&lt;=-500,IF(ABS((P65-P64))&lt;500,"",IF((P65-P64)&gt;0,-ABS((P65-P64)/(Q65-P64)),MIN(1,ABS((P65-P64)/(Q65-P64))))),IF(ABS((P65-P64))&lt;500,1,MIN(1,500/ABS((P65-P64))))))</f>
        <v/>
      </c>
      <c r="U65">
        <f>IF(AND(ABS((P65-P64))&lt;500,ABS((Q65-P64))&lt;500),1,IF(AND(ABS((P65-P64))&lt;500,ABS((Q65-P64))&gt;=500),0,IF((P65-P64)*(Q65-P64)&gt;0,1,0)))</f>
        <v/>
      </c>
      <c r="W65" s="6" t="n">
        <v>42683.33</v>
      </c>
      <c r="X65" s="7" t="n">
        <v>42794.77</v>
      </c>
      <c r="Y65">
        <f>ABS(W65-X65)</f>
        <v/>
      </c>
      <c r="Z65" s="8">
        <f>IF(W65=0,"-",1-ABS(W65-X65)/W65)</f>
        <v/>
      </c>
      <c r="AA65">
        <f>IF((X65-W64)&gt;=500,IF(ABS((W65-W64))&lt;500,"",IF((W65-W64)&lt;0,-ABS((W65-W64)/(X65-W64)),MIN(1,ABS((W65-W64)/(X65-W64))))),IF((X65-W64)&lt;=-500,IF(ABS((W65-W64))&lt;500,"",IF((W65-W64)&gt;0,-ABS((W65-W64)/(X65-W64)),MIN(1,ABS((W65-W64)/(X65-W64))))),IF(ABS((W65-W64))&lt;500,1,MIN(1,500/ABS((W65-W64))))))</f>
        <v/>
      </c>
      <c r="AB65">
        <f>IF(AND(ABS((W65-W64))&lt;500,ABS((X65-W64))&lt;500),1,IF(AND(ABS((W65-W64))&lt;500,ABS((X65-W64))&gt;=500),0,IF((W65-W64)*(X65-W64)&gt;0,1,0)))</f>
        <v/>
      </c>
      <c r="AD65" s="6" t="n">
        <v>38416.67</v>
      </c>
      <c r="AE65" s="7" t="n">
        <v>37930.785</v>
      </c>
      <c r="AF65">
        <f>ABS(AD65-AE65)</f>
        <v/>
      </c>
      <c r="AG65" s="8">
        <f>IF(AD65=0,"-",1-ABS(AD65-AE65)/AD65)</f>
        <v/>
      </c>
      <c r="AH65">
        <f>IF((AE65-AD64)&gt;=500,IF(ABS((AD65-AD64))&lt;500,"",IF((AD65-AD64)&lt;0,-ABS((AD65-AD64)/(AE65-AD64)),MIN(1,ABS((AD65-AD64)/(AE65-AD64))))),IF((AE65-AD64)&lt;=-500,IF(ABS((AD65-AD64))&lt;500,"",IF((AD65-AD64)&gt;0,-ABS((AD65-AD64)/(AE65-AD64)),MIN(1,ABS((AD65-AD64)/(AE65-AD64))))),IF(ABS((AD65-AD64))&lt;500,1,MIN(1,500/ABS((AD65-AD64))))))</f>
        <v/>
      </c>
      <c r="AI65">
        <f>IF(AND(ABS((AD65-AD64))&lt;500,ABS((AE65-AD64))&lt;500),1,IF(AND(ABS((AD65-AD64))&lt;500,ABS((AE65-AD64))&gt;=500),0,IF((AD65-AD64)*(AE65-AD64)&gt;0,1,0)))</f>
        <v/>
      </c>
      <c r="AK65" s="6" t="n">
        <v>44033.33</v>
      </c>
      <c r="AL65" s="7" t="n">
        <v>43368.934</v>
      </c>
      <c r="AM65">
        <f>ABS(AK65-AL65)</f>
        <v/>
      </c>
      <c r="AN65" s="8">
        <f>IF(AK65=0,"-",1-ABS(AK65-AL65)/AK65)</f>
        <v/>
      </c>
      <c r="AO65">
        <f>IF((AL65-AK64)&gt;=500,IF(ABS((AK65-AK64))&lt;500,"",IF((AK65-AK64)&lt;0,-ABS((AK65-AK64)/(AL65-AK64)),MIN(1,ABS((AK65-AK64)/(AL65-AK64))))),IF((AL65-AK64)&lt;=-500,IF(ABS((AK65-AK64))&lt;500,"",IF((AK65-AK64)&gt;0,-ABS((AK65-AK64)/(AL65-AK64)),MIN(1,ABS((AK65-AK64)/(AL65-AK64))))),IF(ABS((AK65-AK64))&lt;500,1,MIN(1,500/ABS((AK65-AK64))))))</f>
        <v/>
      </c>
      <c r="AP65">
        <f>IF(AND(ABS((AK65-AK64))&lt;500,ABS((AL65-AK64))&lt;500),1,IF(AND(ABS((AK65-AK64))&lt;500,ABS((AL65-AK64))&gt;=500),0,IF((AK65-AK64)*(AL65-AK64)&gt;0,1,0)))</f>
        <v/>
      </c>
    </row>
    <row r="66">
      <c r="A66" s="5" t="n">
        <v>45998</v>
      </c>
      <c r="B66" s="6" t="n">
        <v>46700</v>
      </c>
      <c r="C66" s="7" t="n">
        <v>48367.293</v>
      </c>
      <c r="D66">
        <f>ABS(B66-C66)</f>
        <v/>
      </c>
      <c r="E66" s="8">
        <f>IF(B66=0,"-",1-ABS(B66-C66)/B66)</f>
        <v/>
      </c>
      <c r="F66">
        <f>IF((C66-B65)&gt;=500,IF(ABS((B66-B65))&lt;500,"",IF((B66-B65)&lt;0,-ABS((B66-B65)/(C66-B65)),MIN(1,ABS((B66-B65)/(C66-B65))))),IF((C66-B65)&lt;=-500,IF(ABS((B66-B65))&lt;500,"",IF((B66-B65)&gt;0,-ABS((B66-B65)/(C66-B65)),MIN(1,ABS((B66-B65)/(C66-B65))))),IF(ABS((B66-B65))&lt;500,1,MIN(1,500/ABS((B66-B65))))))</f>
        <v/>
      </c>
      <c r="G66">
        <f>IF(AND(ABS((B66-B65))&lt;500,ABS((C66-B65))&lt;500),1,IF(AND(ABS((B66-B65))&lt;500,ABS((C66-B65))&gt;=500),0,IF((B66-B65)*(C66-B65)&gt;0,1,0)))</f>
        <v/>
      </c>
      <c r="I66" s="6" t="n">
        <v>45750</v>
      </c>
      <c r="J66" s="7" t="n">
        <v>46123.17</v>
      </c>
      <c r="K66">
        <f>ABS(I66-J66)</f>
        <v/>
      </c>
      <c r="L66" s="8">
        <f>IF(I66=0,"-",1-ABS(I66-J66)/I66)</f>
        <v/>
      </c>
      <c r="M66">
        <f>IF((J66-I65)&gt;=500,IF(ABS((I66-I65))&lt;500,"",IF((I66-I65)&lt;0,-ABS((I66-I65)/(J66-I65)),MIN(1,ABS((I66-I65)/(J66-I65))))),IF((J66-I65)&lt;=-500,IF(ABS((I66-I65))&lt;500,"",IF((I66-I65)&gt;0,-ABS((I66-I65)/(J66-I65)),MIN(1,ABS((I66-I65)/(J66-I65))))),IF(ABS((I66-I65))&lt;500,1,MIN(1,500/ABS((I66-I65))))))</f>
        <v/>
      </c>
      <c r="N66">
        <f>IF(AND(ABS((I66-I65))&lt;500,ABS((J66-I65))&lt;500),1,IF(AND(ABS((I66-I65))&lt;500,ABS((J66-I65))&gt;=500),0,IF((I66-I65)*(J66-I65)&gt;0,1,0)))</f>
        <v/>
      </c>
      <c r="P66" s="6" t="n">
        <v>47500</v>
      </c>
      <c r="Q66" s="7" t="n">
        <v>47311.684</v>
      </c>
      <c r="R66">
        <f>ABS(P66-Q66)</f>
        <v/>
      </c>
      <c r="S66" s="8">
        <f>IF(P66=0,"-",1-ABS(P66-Q66)/P66)</f>
        <v/>
      </c>
      <c r="T66">
        <f>IF((Q66-P65)&gt;=500,IF(ABS((P66-P65))&lt;500,"",IF((P66-P65)&lt;0,-ABS((P66-P65)/(Q66-P65)),MIN(1,ABS((P66-P65)/(Q66-P65))))),IF((Q66-P65)&lt;=-500,IF(ABS((P66-P65))&lt;500,"",IF((P66-P65)&gt;0,-ABS((P66-P65)/(Q66-P65)),MIN(1,ABS((P66-P65)/(Q66-P65))))),IF(ABS((P66-P65))&lt;500,1,MIN(1,500/ABS((P66-P65))))))</f>
        <v/>
      </c>
      <c r="U66">
        <f>IF(AND(ABS((P66-P65))&lt;500,ABS((Q66-P65))&lt;500),1,IF(AND(ABS((P66-P65))&lt;500,ABS((Q66-P65))&gt;=500),0,IF((P66-P65)*(Q66-P65)&gt;0,1,0)))</f>
        <v/>
      </c>
      <c r="W66" s="6" t="n">
        <v>42750</v>
      </c>
      <c r="X66" s="7" t="n">
        <v>42904.758</v>
      </c>
      <c r="Y66">
        <f>ABS(W66-X66)</f>
        <v/>
      </c>
      <c r="Z66" s="8">
        <f>IF(W66=0,"-",1-ABS(W66-X66)/W66)</f>
        <v/>
      </c>
      <c r="AA66">
        <f>IF((X66-W65)&gt;=500,IF(ABS((W66-W65))&lt;500,"",IF((W66-W65)&lt;0,-ABS((W66-W65)/(X66-W65)),MIN(1,ABS((W66-W65)/(X66-W65))))),IF((X66-W65)&lt;=-500,IF(ABS((W66-W65))&lt;500,"",IF((W66-W65)&gt;0,-ABS((W66-W65)/(X66-W65)),MIN(1,ABS((W66-W65)/(X66-W65))))),IF(ABS((W66-W65))&lt;500,1,MIN(1,500/ABS((W66-W65))))))</f>
        <v/>
      </c>
      <c r="AB66">
        <f>IF(AND(ABS((W66-W65))&lt;500,ABS((X66-W65))&lt;500),1,IF(AND(ABS((W66-W65))&lt;500,ABS((X66-W65))&gt;=500),0,IF((W66-W65)*(X66-W65)&gt;0,1,0)))</f>
        <v/>
      </c>
      <c r="AD66" s="6" t="n">
        <v>38700</v>
      </c>
      <c r="AE66" s="7" t="n">
        <v>38386.25</v>
      </c>
      <c r="AF66">
        <f>ABS(AD66-AE66)</f>
        <v/>
      </c>
      <c r="AG66" s="8">
        <f>IF(AD66=0,"-",1-ABS(AD66-AE66)/AD66)</f>
        <v/>
      </c>
      <c r="AH66">
        <f>IF((AE66-AD65)&gt;=500,IF(ABS((AD66-AD65))&lt;500,"",IF((AD66-AD65)&lt;0,-ABS((AD66-AD65)/(AE66-AD65)),MIN(1,ABS((AD66-AD65)/(AE66-AD65))))),IF((AE66-AD65)&lt;=-500,IF(ABS((AD66-AD65))&lt;500,"",IF((AD66-AD65)&gt;0,-ABS((AD66-AD65)/(AE66-AD65)),MIN(1,ABS((AD66-AD65)/(AE66-AD65))))),IF(ABS((AD66-AD65))&lt;500,1,MIN(1,500/ABS((AD66-AD65))))))</f>
        <v/>
      </c>
      <c r="AI66">
        <f>IF(AND(ABS((AD66-AD65))&lt;500,ABS((AE66-AD65))&lt;500),1,IF(AND(ABS((AD66-AD65))&lt;500,ABS((AE66-AD65))&gt;=500),0,IF((AD66-AD65)*(AE66-AD65)&gt;0,1,0)))</f>
        <v/>
      </c>
      <c r="AK66" s="6" t="n">
        <v>44683.33</v>
      </c>
      <c r="AL66" s="7" t="n">
        <v>43860.75</v>
      </c>
      <c r="AM66">
        <f>ABS(AK66-AL66)</f>
        <v/>
      </c>
      <c r="AN66" s="8">
        <f>IF(AK66=0,"-",1-ABS(AK66-AL66)/AK66)</f>
        <v/>
      </c>
      <c r="AO66">
        <f>IF((AL66-AK65)&gt;=500,IF(ABS((AK66-AK65))&lt;500,"",IF((AK66-AK65)&lt;0,-ABS((AK66-AK65)/(AL66-AK65)),MIN(1,ABS((AK66-AK65)/(AL66-AK65))))),IF((AL66-AK65)&lt;=-500,IF(ABS((AK66-AK65))&lt;500,"",IF((AK66-AK65)&gt;0,-ABS((AK66-AK65)/(AL66-AK65)),MIN(1,ABS((AK66-AK65)/(AL66-AK65))))),IF(ABS((AK66-AK65))&lt;500,1,MIN(1,500/ABS((AK66-AK65))))))</f>
        <v/>
      </c>
      <c r="AP66">
        <f>IF(AND(ABS((AK66-AK65))&lt;500,ABS((AL66-AK65))&lt;500),1,IF(AND(ABS((AK66-AK65))&lt;500,ABS((AL66-AK65))&gt;=500),0,IF((AK66-AK65)*(AL66-AK65)&gt;0,1,0)))</f>
        <v/>
      </c>
    </row>
    <row r="67">
      <c r="A67" s="5" t="n">
        <v>46005</v>
      </c>
      <c r="B67" s="6" t="n">
        <v>46800</v>
      </c>
      <c r="C67" s="7" t="n">
        <v>46665.42</v>
      </c>
      <c r="D67">
        <f>ABS(B67-C67)</f>
        <v/>
      </c>
      <c r="E67" s="8">
        <f>IF(B67=0,"-",1-ABS(B67-C67)/B67)</f>
        <v/>
      </c>
      <c r="F67">
        <f>IF((C67-B66)&gt;=500,IF(ABS((B67-B66))&lt;500,"",IF((B67-B66)&lt;0,-ABS((B67-B66)/(C67-B66)),MIN(1,ABS((B67-B66)/(C67-B66))))),IF((C67-B66)&lt;=-500,IF(ABS((B67-B66))&lt;500,"",IF((B67-B66)&gt;0,-ABS((B67-B66)/(C67-B66)),MIN(1,ABS((B67-B66)/(C67-B66))))),IF(ABS((B67-B66))&lt;500,1,MIN(1,500/ABS((B67-B66))))))</f>
        <v/>
      </c>
      <c r="G67">
        <f>IF(AND(ABS((B67-B66))&lt;500,ABS((C67-B66))&lt;500),1,IF(AND(ABS((B67-B66))&lt;500,ABS((C67-B66))&gt;=500),0,IF((B67-B66)*(C67-B66)&gt;0,1,0)))</f>
        <v/>
      </c>
      <c r="I67" s="6" t="n">
        <v>45850</v>
      </c>
      <c r="J67" s="7" t="n">
        <v>45777.023</v>
      </c>
      <c r="K67">
        <f>ABS(I67-J67)</f>
        <v/>
      </c>
      <c r="L67" s="8">
        <f>IF(I67=0,"-",1-ABS(I67-J67)/I67)</f>
        <v/>
      </c>
      <c r="M67">
        <f>IF((J67-I66)&gt;=500,IF(ABS((I67-I66))&lt;500,"",IF((I67-I66)&lt;0,-ABS((I67-I66)/(J67-I66)),MIN(1,ABS((I67-I66)/(J67-I66))))),IF((J67-I66)&lt;=-500,IF(ABS((I67-I66))&lt;500,"",IF((I67-I66)&gt;0,-ABS((I67-I66)/(J67-I66)),MIN(1,ABS((I67-I66)/(J67-I66))))),IF(ABS((I67-I66))&lt;500,1,MIN(1,500/ABS((I67-I66))))))</f>
        <v/>
      </c>
      <c r="N67">
        <f>IF(AND(ABS((I67-I66))&lt;500,ABS((J67-I66))&lt;500),1,IF(AND(ABS((I67-I66))&lt;500,ABS((J67-I66))&gt;=500),0,IF((I67-I66)*(J67-I66)&gt;0,1,0)))</f>
        <v/>
      </c>
      <c r="P67" s="6" t="n">
        <v>47500</v>
      </c>
      <c r="Q67" s="7" t="n">
        <v>47738.98</v>
      </c>
      <c r="R67">
        <f>ABS(P67-Q67)</f>
        <v/>
      </c>
      <c r="S67" s="8">
        <f>IF(P67=0,"-",1-ABS(P67-Q67)/P67)</f>
        <v/>
      </c>
      <c r="T67">
        <f>IF((Q67-P66)&gt;=500,IF(ABS((P67-P66))&lt;500,"",IF((P67-P66)&lt;0,-ABS((P67-P66)/(Q67-P66)),MIN(1,ABS((P67-P66)/(Q67-P66))))),IF((Q67-P66)&lt;=-500,IF(ABS((P67-P66))&lt;500,"",IF((P67-P66)&gt;0,-ABS((P67-P66)/(Q67-P66)),MIN(1,ABS((P67-P66)/(Q67-P66))))),IF(ABS((P67-P66))&lt;500,1,MIN(1,500/ABS((P67-P66))))))</f>
        <v/>
      </c>
      <c r="U67">
        <f>IF(AND(ABS((P67-P66))&lt;500,ABS((Q67-P66))&lt;500),1,IF(AND(ABS((P67-P66))&lt;500,ABS((Q67-P66))&gt;=500),0,IF((P67-P66)*(Q67-P66)&gt;0,1,0)))</f>
        <v/>
      </c>
      <c r="W67" s="6" t="n">
        <v>43750</v>
      </c>
      <c r="X67" s="7" t="n">
        <v>42987.414</v>
      </c>
      <c r="Y67">
        <f>ABS(W67-X67)</f>
        <v/>
      </c>
      <c r="Z67" s="8">
        <f>IF(W67=0,"-",1-ABS(W67-X67)/W67)</f>
        <v/>
      </c>
      <c r="AA67">
        <f>IF((X67-W66)&gt;=500,IF(ABS((W67-W66))&lt;500,"",IF((W67-W66)&lt;0,-ABS((W67-W66)/(X67-W66)),MIN(1,ABS((W67-W66)/(X67-W66))))),IF((X67-W66)&lt;=-500,IF(ABS((W67-W66))&lt;500,"",IF((W67-W66)&gt;0,-ABS((W67-W66)/(X67-W66)),MIN(1,ABS((W67-W66)/(X67-W66))))),IF(ABS((W67-W66))&lt;500,1,MIN(1,500/ABS((W67-W66))))))</f>
        <v/>
      </c>
      <c r="AB67">
        <f>IF(AND(ABS((W67-W66))&lt;500,ABS((X67-W66))&lt;500),1,IF(AND(ABS((W67-W66))&lt;500,ABS((X67-W66))&gt;=500),0,IF((W67-W66)*(X67-W66)&gt;0,1,0)))</f>
        <v/>
      </c>
      <c r="AD67" s="6" t="n">
        <v>39350</v>
      </c>
      <c r="AE67" s="7" t="n">
        <v>38698.1</v>
      </c>
      <c r="AF67">
        <f>ABS(AD67-AE67)</f>
        <v/>
      </c>
      <c r="AG67" s="8">
        <f>IF(AD67=0,"-",1-ABS(AD67-AE67)/AD67)</f>
        <v/>
      </c>
      <c r="AH67">
        <f>IF((AE67-AD66)&gt;=500,IF(ABS((AD67-AD66))&lt;500,"",IF((AD67-AD66)&lt;0,-ABS((AD67-AD66)/(AE67-AD66)),MIN(1,ABS((AD67-AD66)/(AE67-AD66))))),IF((AE67-AD66)&lt;=-500,IF(ABS((AD67-AD66))&lt;500,"",IF((AD67-AD66)&gt;0,-ABS((AD67-AD66)/(AE67-AD66)),MIN(1,ABS((AD67-AD66)/(AE67-AD66))))),IF(ABS((AD67-AD66))&lt;500,1,MIN(1,500/ABS((AD67-AD66))))))</f>
        <v/>
      </c>
      <c r="AI67">
        <f>IF(AND(ABS((AD67-AD66))&lt;500,ABS((AE67-AD66))&lt;500),1,IF(AND(ABS((AD67-AD66))&lt;500,ABS((AE67-AD66))&gt;=500),0,IF((AD67-AD66)*(AE67-AD66)&gt;0,1,0)))</f>
        <v/>
      </c>
      <c r="AK67" s="6" t="n">
        <v>44300</v>
      </c>
      <c r="AL67" s="7" t="n">
        <v>44548.76</v>
      </c>
      <c r="AM67">
        <f>ABS(AK67-AL67)</f>
        <v/>
      </c>
      <c r="AN67" s="8">
        <f>IF(AK67=0,"-",1-ABS(AK67-AL67)/AK67)</f>
        <v/>
      </c>
      <c r="AO67">
        <f>IF((AL67-AK66)&gt;=500,IF(ABS((AK67-AK66))&lt;500,"",IF((AK67-AK66)&lt;0,-ABS((AK67-AK66)/(AL67-AK66)),MIN(1,ABS((AK67-AK66)/(AL67-AK66))))),IF((AL67-AK66)&lt;=-500,IF(ABS((AK67-AK66))&lt;500,"",IF((AK67-AK66)&gt;0,-ABS((AK67-AK66)/(AL67-AK66)),MIN(1,ABS((AK67-AK66)/(AL67-AK66))))),IF(ABS((AK67-AK66))&lt;500,1,MIN(1,500/ABS((AK67-AK66))))))</f>
        <v/>
      </c>
      <c r="AP67">
        <f>IF(AND(ABS((AK67-AK66))&lt;500,ABS((AL67-AK66))&lt;500),1,IF(AND(ABS((AK67-AK66))&lt;500,ABS((AL67-AK66))&gt;=500),0,IF((AK67-AK66)*(AL67-AK66)&gt;0,1,0)))</f>
        <v/>
      </c>
    </row>
    <row r="68">
      <c r="A68" s="5" t="n">
        <v>46012</v>
      </c>
      <c r="B68" s="6" t="n">
        <v>46800</v>
      </c>
      <c r="C68" s="7" t="n">
        <v>46632.03</v>
      </c>
      <c r="D68">
        <f>ABS(B68-C68)</f>
        <v/>
      </c>
      <c r="E68" s="8">
        <f>IF(B68=0,"-",1-ABS(B68-C68)/B68)</f>
        <v/>
      </c>
      <c r="F68">
        <f>IF((C68-B67)&gt;=500,IF(ABS((B68-B67))&lt;500,"",IF((B68-B67)&lt;0,-ABS((B68-B67)/(C68-B67)),MIN(1,ABS((B68-B67)/(C68-B67))))),IF((C68-B67)&lt;=-500,IF(ABS((B68-B67))&lt;500,"",IF((B68-B67)&gt;0,-ABS((B68-B67)/(C68-B67)),MIN(1,ABS((B68-B67)/(C68-B67))))),IF(ABS((B68-B67))&lt;500,1,MIN(1,500/ABS((B68-B67))))))</f>
        <v/>
      </c>
      <c r="G68">
        <f>IF(AND(ABS((B68-B67))&lt;500,ABS((C68-B67))&lt;500),1,IF(AND(ABS((B68-B67))&lt;500,ABS((C68-B67))&gt;=500),0,IF((B68-B67)*(C68-B67)&gt;0,1,0)))</f>
        <v/>
      </c>
      <c r="I68" s="6" t="n">
        <v>46800</v>
      </c>
      <c r="J68" s="7" t="n">
        <v>45987.883</v>
      </c>
      <c r="K68">
        <f>ABS(I68-J68)</f>
        <v/>
      </c>
      <c r="L68" s="8">
        <f>IF(I68=0,"-",1-ABS(I68-J68)/I68)</f>
        <v/>
      </c>
      <c r="M68">
        <f>IF((J68-I67)&gt;=500,IF(ABS((I68-I67))&lt;500,"",IF((I68-I67)&lt;0,-ABS((I68-I67)/(J68-I67)),MIN(1,ABS((I68-I67)/(J68-I67))))),IF((J68-I67)&lt;=-500,IF(ABS((I68-I67))&lt;500,"",IF((I68-I67)&gt;0,-ABS((I68-I67)/(J68-I67)),MIN(1,ABS((I68-I67)/(J68-I67))))),IF(ABS((I68-I67))&lt;500,1,MIN(1,500/ABS((I68-I67))))))</f>
        <v/>
      </c>
      <c r="N68">
        <f>IF(AND(ABS((I68-I67))&lt;500,ABS((J68-I67))&lt;500),1,IF(AND(ABS((I68-I67))&lt;500,ABS((J68-I67))&gt;=500),0,IF((I68-I67)*(J68-I67)&gt;0,1,0)))</f>
        <v/>
      </c>
      <c r="P68" s="6" t="n">
        <v>49000</v>
      </c>
      <c r="Q68" s="7" t="n">
        <v>47798.367</v>
      </c>
      <c r="R68">
        <f>ABS(P68-Q68)</f>
        <v/>
      </c>
      <c r="S68" s="8">
        <f>IF(P68=0,"-",1-ABS(P68-Q68)/P68)</f>
        <v/>
      </c>
      <c r="T68">
        <f>IF((Q68-P67)&gt;=500,IF(ABS((P68-P67))&lt;500,"",IF((P68-P67)&lt;0,-ABS((P68-P67)/(Q68-P67)),MIN(1,ABS((P68-P67)/(Q68-P67))))),IF((Q68-P67)&lt;=-500,IF(ABS((P68-P67))&lt;500,"",IF((P68-P67)&gt;0,-ABS((P68-P67)/(Q68-P67)),MIN(1,ABS((P68-P67)/(Q68-P67))))),IF(ABS((P68-P67))&lt;500,1,MIN(1,500/ABS((P68-P67))))))</f>
        <v/>
      </c>
      <c r="U68">
        <f>IF(AND(ABS((P68-P67))&lt;500,ABS((Q68-P67))&lt;500),1,IF(AND(ABS((P68-P67))&lt;500,ABS((Q68-P67))&gt;=500),0,IF((P68-P67)*(Q68-P67)&gt;0,1,0)))</f>
        <v/>
      </c>
      <c r="W68" s="6" t="n">
        <v>44500</v>
      </c>
      <c r="X68" s="7" t="n">
        <v>43954.7</v>
      </c>
      <c r="Y68">
        <f>ABS(W68-X68)</f>
        <v/>
      </c>
      <c r="Z68" s="8">
        <f>IF(W68=0,"-",1-ABS(W68-X68)/W68)</f>
        <v/>
      </c>
      <c r="AA68">
        <f>IF((X68-W67)&gt;=500,IF(ABS((W68-W67))&lt;500,"",IF((W68-W67)&lt;0,-ABS((W68-W67)/(X68-W67)),MIN(1,ABS((W68-W67)/(X68-W67))))),IF((X68-W67)&lt;=-500,IF(ABS((W68-W67))&lt;500,"",IF((W68-W67)&gt;0,-ABS((W68-W67)/(X68-W67)),MIN(1,ABS((W68-W67)/(X68-W67))))),IF(ABS((W68-W67))&lt;500,1,MIN(1,500/ABS((W68-W67))))))</f>
        <v/>
      </c>
      <c r="AB68">
        <f>IF(AND(ABS((W68-W67))&lt;500,ABS((X68-W67))&lt;500),1,IF(AND(ABS((W68-W67))&lt;500,ABS((X68-W67))&gt;=500),0,IF((W68-W67)*(X68-W67)&gt;0,1,0)))</f>
        <v/>
      </c>
      <c r="AD68" s="6" t="n">
        <v>39100</v>
      </c>
      <c r="AE68" s="7" t="n">
        <v>39367.883</v>
      </c>
      <c r="AF68">
        <f>ABS(AD68-AE68)</f>
        <v/>
      </c>
      <c r="AG68" s="8">
        <f>IF(AD68=0,"-",1-ABS(AD68-AE68)/AD68)</f>
        <v/>
      </c>
      <c r="AH68">
        <f>IF((AE68-AD67)&gt;=500,IF(ABS((AD68-AD67))&lt;500,"",IF((AD68-AD67)&lt;0,-ABS((AD68-AD67)/(AE68-AD67)),MIN(1,ABS((AD68-AD67)/(AE68-AD67))))),IF((AE68-AD67)&lt;=-500,IF(ABS((AD68-AD67))&lt;500,"",IF((AD68-AD67)&gt;0,-ABS((AD68-AD67)/(AE68-AD67)),MIN(1,ABS((AD68-AD67)/(AE68-AD67))))),IF(ABS((AD68-AD67))&lt;500,1,MIN(1,500/ABS((AD68-AD67))))))</f>
        <v/>
      </c>
      <c r="AI68">
        <f>IF(AND(ABS((AD68-AD67))&lt;500,ABS((AE68-AD67))&lt;500),1,IF(AND(ABS((AD68-AD67))&lt;500,ABS((AE68-AD67))&gt;=500),0,IF((AD68-AD67)*(AE68-AD67)&gt;0,1,0)))</f>
        <v/>
      </c>
      <c r="AK68" s="6" t="n">
        <v>44916.67</v>
      </c>
      <c r="AL68" s="7" t="n">
        <v>44259.42</v>
      </c>
      <c r="AM68">
        <f>ABS(AK68-AL68)</f>
        <v/>
      </c>
      <c r="AN68" s="8">
        <f>IF(AK68=0,"-",1-ABS(AK68-AL68)/AK68)</f>
        <v/>
      </c>
      <c r="AO68">
        <f>IF((AL68-AK67)&gt;=500,IF(ABS((AK68-AK67))&lt;500,"",IF((AK68-AK67)&lt;0,-ABS((AK68-AK67)/(AL68-AK67)),MIN(1,ABS((AK68-AK67)/(AL68-AK67))))),IF((AL68-AK67)&lt;=-500,IF(ABS((AK68-AK67))&lt;500,"",IF((AK68-AK67)&gt;0,-ABS((AK68-AK67)/(AL68-AK67)),MIN(1,ABS((AK68-AK67)/(AL68-AK67))))),IF(ABS((AK68-AK67))&lt;500,1,MIN(1,500/ABS((AK68-AK67))))))</f>
        <v/>
      </c>
      <c r="AP68">
        <f>IF(AND(ABS((AK68-AK67))&lt;500,ABS((AL68-AK67))&lt;500),1,IF(AND(ABS((AK68-AK67))&lt;500,ABS((AL68-AK67))&gt;=500),0,IF((AK68-AK67)*(AL68-AK67)&gt;0,1,0)))</f>
        <v/>
      </c>
    </row>
    <row r="69">
      <c r="A69" s="5" t="n">
        <v>46019</v>
      </c>
      <c r="B69" s="6" t="n">
        <v>48000</v>
      </c>
      <c r="C69" s="7" t="n">
        <v>46652.758</v>
      </c>
      <c r="D69">
        <f>ABS(B69-C69)</f>
        <v/>
      </c>
      <c r="E69" s="8">
        <f>IF(B69=0,"-",1-ABS(B69-C69)/B69)</f>
        <v/>
      </c>
      <c r="F69">
        <f>IF((C69-B68)&gt;=500,IF(ABS((B69-B68))&lt;500,"",IF((B69-B68)&lt;0,-ABS((B69-B68)/(C69-B68)),MIN(1,ABS((B69-B68)/(C69-B68))))),IF((C69-B68)&lt;=-500,IF(ABS((B69-B68))&lt;500,"",IF((B69-B68)&gt;0,-ABS((B69-B68)/(C69-B68)),MIN(1,ABS((B69-B68)/(C69-B68))))),IF(ABS((B69-B68))&lt;500,1,MIN(1,500/ABS((B69-B68))))))</f>
        <v/>
      </c>
      <c r="G69">
        <f>IF(AND(ABS((B69-B68))&lt;500,ABS((C69-B68))&lt;500),1,IF(AND(ABS((B69-B68))&lt;500,ABS((C69-B68))&gt;=500),0,IF((B69-B68)*(C69-B68)&gt;0,1,0)))</f>
        <v/>
      </c>
      <c r="I69" s="6" t="n">
        <v>48650</v>
      </c>
      <c r="J69" s="7" t="n">
        <v>47079.547</v>
      </c>
      <c r="K69">
        <f>ABS(I69-J69)</f>
        <v/>
      </c>
      <c r="L69" s="8">
        <f>IF(I69=0,"-",1-ABS(I69-J69)/I69)</f>
        <v/>
      </c>
      <c r="M69">
        <f>IF((J69-I68)&gt;=500,IF(ABS((I69-I68))&lt;500,"",IF((I69-I68)&lt;0,-ABS((I69-I68)/(J69-I68)),MIN(1,ABS((I69-I68)/(J69-I68))))),IF((J69-I68)&lt;=-500,IF(ABS((I69-I68))&lt;500,"",IF((I69-I68)&gt;0,-ABS((I69-I68)/(J69-I68)),MIN(1,ABS((I69-I68)/(J69-I68))))),IF(ABS((I69-I68))&lt;500,1,MIN(1,500/ABS((I69-I68))))))</f>
        <v/>
      </c>
      <c r="N69">
        <f>IF(AND(ABS((I69-I68))&lt;500,ABS((J69-I68))&lt;500),1,IF(AND(ABS((I69-I68))&lt;500,ABS((J69-I68))&gt;=500),0,IF((I69-I68)*(J69-I68)&gt;0,1,0)))</f>
        <v/>
      </c>
      <c r="P69" s="6" t="n">
        <v>51900</v>
      </c>
      <c r="Q69" s="7" t="n">
        <v>49217.94</v>
      </c>
      <c r="R69">
        <f>ABS(P69-Q69)</f>
        <v/>
      </c>
      <c r="S69" s="8">
        <f>IF(P69=0,"-",1-ABS(P69-Q69)/P69)</f>
        <v/>
      </c>
      <c r="T69">
        <f>IF((Q69-P68)&gt;=500,IF(ABS((P69-P68))&lt;500,"",IF((P69-P68)&lt;0,-ABS((P69-P68)/(Q69-P68)),MIN(1,ABS((P69-P68)/(Q69-P68))))),IF((Q69-P68)&lt;=-500,IF(ABS((P69-P68))&lt;500,"",IF((P69-P68)&gt;0,-ABS((P69-P68)/(Q69-P68)),MIN(1,ABS((P69-P68)/(Q69-P68))))),IF(ABS((P69-P68))&lt;500,1,MIN(1,500/ABS((P69-P68))))))</f>
        <v/>
      </c>
      <c r="U69">
        <f>IF(AND(ABS((P69-P68))&lt;500,ABS((Q69-P68))&lt;500),1,IF(AND(ABS((P69-P68))&lt;500,ABS((Q69-P68))&gt;=500),0,IF((P69-P68)*(Q69-P68)&gt;0,1,0)))</f>
        <v/>
      </c>
      <c r="W69" s="6" t="n">
        <v>45050</v>
      </c>
      <c r="X69" s="7" t="n">
        <v>44703.86</v>
      </c>
      <c r="Y69">
        <f>ABS(W69-X69)</f>
        <v/>
      </c>
      <c r="Z69" s="8">
        <f>IF(W69=0,"-",1-ABS(W69-X69)/W69)</f>
        <v/>
      </c>
      <c r="AA69">
        <f>IF((X69-W68)&gt;=500,IF(ABS((W69-W68))&lt;500,"",IF((W69-W68)&lt;0,-ABS((W69-W68)/(X69-W68)),MIN(1,ABS((W69-W68)/(X69-W68))))),IF((X69-W68)&lt;=-500,IF(ABS((W69-W68))&lt;500,"",IF((W69-W68)&gt;0,-ABS((W69-W68)/(X69-W68)),MIN(1,ABS((W69-W68)/(X69-W68))))),IF(ABS((W69-W68))&lt;500,1,MIN(1,500/ABS((W69-W68))))))</f>
        <v/>
      </c>
      <c r="AB69">
        <f>IF(AND(ABS((W69-W68))&lt;500,ABS((X69-W68))&lt;500),1,IF(AND(ABS((W69-W68))&lt;500,ABS((X69-W68))&gt;=500),0,IF((W69-W68)*(X69-W68)&gt;0,1,0)))</f>
        <v/>
      </c>
      <c r="AD69" s="6" t="n">
        <v>39633.33</v>
      </c>
      <c r="AE69" s="7" t="n">
        <v>39203.684</v>
      </c>
      <c r="AF69">
        <f>ABS(AD69-AE69)</f>
        <v/>
      </c>
      <c r="AG69" s="8">
        <f>IF(AD69=0,"-",1-ABS(AD69-AE69)/AD69)</f>
        <v/>
      </c>
      <c r="AH69">
        <f>IF((AE69-AD68)&gt;=500,IF(ABS((AD69-AD68))&lt;500,"",IF((AD69-AD68)&lt;0,-ABS((AD69-AD68)/(AE69-AD68)),MIN(1,ABS((AD69-AD68)/(AE69-AD68))))),IF((AE69-AD68)&lt;=-500,IF(ABS((AD69-AD68))&lt;500,"",IF((AD69-AD68)&gt;0,-ABS((AD69-AD68)/(AE69-AD68)),MIN(1,ABS((AD69-AD68)/(AE69-AD68))))),IF(ABS((AD69-AD68))&lt;500,1,MIN(1,500/ABS((AD69-AD68))))))</f>
        <v/>
      </c>
      <c r="AI69">
        <f>IF(AND(ABS((AD69-AD68))&lt;500,ABS((AE69-AD68))&lt;500),1,IF(AND(ABS((AD69-AD68))&lt;500,ABS((AE69-AD68))&gt;=500),0,IF((AD69-AD68)*(AE69-AD68)&gt;0,1,0)))</f>
        <v/>
      </c>
      <c r="AK69" s="6" t="n">
        <v>45860</v>
      </c>
      <c r="AL69" s="7" t="n">
        <v>44949.67</v>
      </c>
      <c r="AM69">
        <f>ABS(AK69-AL69)</f>
        <v/>
      </c>
      <c r="AN69" s="8">
        <f>IF(AK69=0,"-",1-ABS(AK69-AL69)/AK69)</f>
        <v/>
      </c>
      <c r="AO69">
        <f>IF((AL69-AK68)&gt;=500,IF(ABS((AK69-AK68))&lt;500,"",IF((AK69-AK68)&lt;0,-ABS((AK69-AK68)/(AL69-AK68)),MIN(1,ABS((AK69-AK68)/(AL69-AK68))))),IF((AL69-AK68)&lt;=-500,IF(ABS((AK69-AK68))&lt;500,"",IF((AK69-AK68)&gt;0,-ABS((AK69-AK68)/(AL69-AK68)),MIN(1,ABS((AK69-AK68)/(AL69-AK68))))),IF(ABS((AK69-AK68))&lt;500,1,MIN(1,500/ABS((AK69-AK68))))))</f>
        <v/>
      </c>
      <c r="AP69">
        <f>IF(AND(ABS((AK69-AK68))&lt;500,ABS((AL69-AK68))&lt;500),1,IF(AND(ABS((AK69-AK68))&lt;500,ABS((AL69-AK68))&gt;=500),0,IF((AK69-AK68)*(AL69-AK68)&gt;0,1,0)))</f>
        <v/>
      </c>
    </row>
    <row r="70">
      <c r="A70" s="5" t="n">
        <v>46026</v>
      </c>
      <c r="B70" s="6" t="n">
        <v>50400</v>
      </c>
      <c r="C70" s="7" t="n">
        <v>47866.824</v>
      </c>
      <c r="D70">
        <f>ABS(B70-C70)</f>
        <v/>
      </c>
      <c r="E70" s="8">
        <f>IF(B70=0,"-",1-ABS(B70-C70)/B70)</f>
        <v/>
      </c>
      <c r="F70">
        <f>IF((C70-B69)&gt;=500,IF(ABS((B70-B69))&lt;500,"",IF((B70-B69)&lt;0,-ABS((B70-B69)/(C70-B69)),MIN(1,ABS((B70-B69)/(C70-B69))))),IF((C70-B69)&lt;=-500,IF(ABS((B70-B69))&lt;500,"",IF((B70-B69)&gt;0,-ABS((B70-B69)/(C70-B69)),MIN(1,ABS((B70-B69)/(C70-B69))))),IF(ABS((B70-B69))&lt;500,1,MIN(1,500/ABS((B70-B69))))))</f>
        <v/>
      </c>
      <c r="G70">
        <f>IF(AND(ABS((B70-B69))&lt;500,ABS((C70-B69))&lt;500),1,IF(AND(ABS((B70-B69))&lt;500,ABS((C70-B69))&gt;=500),0,IF((B70-B69)*(C70-B69)&gt;0,1,0)))</f>
        <v/>
      </c>
      <c r="I70" s="6" t="n">
        <v>51000</v>
      </c>
      <c r="J70" s="7" t="n">
        <v>49146.31</v>
      </c>
      <c r="K70">
        <f>ABS(I70-J70)</f>
        <v/>
      </c>
      <c r="L70" s="8">
        <f>IF(I70=0,"-",1-ABS(I70-J70)/I70)</f>
        <v/>
      </c>
      <c r="M70">
        <f>IF((J70-I69)&gt;=500,IF(ABS((I70-I69))&lt;500,"",IF((I70-I69)&lt;0,-ABS((I70-I69)/(J70-I69)),MIN(1,ABS((I70-I69)/(J70-I69))))),IF((J70-I69)&lt;=-500,IF(ABS((I70-I69))&lt;500,"",IF((I70-I69)&gt;0,-ABS((I70-I69)/(J70-I69)),MIN(1,ABS((I70-I69)/(J70-I69))))),IF(ABS((I70-I69))&lt;500,1,MIN(1,500/ABS((I70-I69))))))</f>
        <v/>
      </c>
      <c r="N70">
        <f>IF(AND(ABS((I70-I69))&lt;500,ABS((J70-I69))&lt;500),1,IF(AND(ABS((I70-I69))&lt;500,ABS((J70-I69))&gt;=500),0,IF((I70-I69)*(J70-I69)&gt;0,1,0)))</f>
        <v/>
      </c>
      <c r="P70" s="6" t="n">
        <v>52500</v>
      </c>
      <c r="Q70" s="7" t="n">
        <v>51929.547</v>
      </c>
      <c r="R70">
        <f>ABS(P70-Q70)</f>
        <v/>
      </c>
      <c r="S70" s="8">
        <f>IF(P70=0,"-",1-ABS(P70-Q70)/P70)</f>
        <v/>
      </c>
      <c r="T70">
        <f>IF((Q70-P69)&gt;=500,IF(ABS((P70-P69))&lt;500,"",IF((P70-P69)&lt;0,-ABS((P70-P69)/(Q70-P69)),MIN(1,ABS((P70-P69)/(Q70-P69))))),IF((Q70-P69)&lt;=-500,IF(ABS((P70-P69))&lt;500,"",IF((P70-P69)&gt;0,-ABS((P70-P69)/(Q70-P69)),MIN(1,ABS((P70-P69)/(Q70-P69))))),IF(ABS((P70-P69))&lt;500,1,MIN(1,500/ABS((P70-P69))))))</f>
        <v/>
      </c>
      <c r="U70">
        <f>IF(AND(ABS((P70-P69))&lt;500,ABS((Q70-P69))&lt;500),1,IF(AND(ABS((P70-P69))&lt;500,ABS((Q70-P69))&gt;=500),0,IF((P70-P69)*(Q70-P69)&gt;0,1,0)))</f>
        <v/>
      </c>
      <c r="W70" s="6" t="n">
        <v>48666.67</v>
      </c>
      <c r="X70" s="7" t="n">
        <v>45252.004</v>
      </c>
      <c r="Y70">
        <f>ABS(W70-X70)</f>
        <v/>
      </c>
      <c r="Z70" s="8">
        <f>IF(W70=0,"-",1-ABS(W70-X70)/W70)</f>
        <v/>
      </c>
      <c r="AA70">
        <f>IF((X70-W69)&gt;=500,IF(ABS((W70-W69))&lt;500,"",IF((W70-W69)&lt;0,-ABS((W70-W69)/(X70-W69)),MIN(1,ABS((W70-W69)/(X70-W69))))),IF((X70-W69)&lt;=-500,IF(ABS((W70-W69))&lt;500,"",IF((W70-W69)&gt;0,-ABS((W70-W69)/(X70-W69)),MIN(1,ABS((W70-W69)/(X70-W69))))),IF(ABS((W70-W69))&lt;500,1,MIN(1,500/ABS((W70-W69))))))</f>
        <v/>
      </c>
      <c r="AB70">
        <f>IF(AND(ABS((W70-W69))&lt;500,ABS((X70-W69))&lt;500),1,IF(AND(ABS((W70-W69))&lt;500,ABS((X70-W69))&gt;=500),0,IF((W70-W69)*(X70-W69)&gt;0,1,0)))</f>
        <v/>
      </c>
      <c r="AD70" s="6" t="n">
        <v>44300</v>
      </c>
      <c r="AE70" s="7" t="n">
        <v>39748.723</v>
      </c>
      <c r="AF70">
        <f>ABS(AD70-AE70)</f>
        <v/>
      </c>
      <c r="AG70" s="8">
        <f>IF(AD70=0,"-",1-ABS(AD70-AE70)/AD70)</f>
        <v/>
      </c>
      <c r="AH70">
        <f>IF((AE70-AD69)&gt;=500,IF(ABS((AD70-AD69))&lt;500,"",IF((AD70-AD69)&lt;0,-ABS((AD70-AD69)/(AE70-AD69)),MIN(1,ABS((AD70-AD69)/(AE70-AD69))))),IF((AE70-AD69)&lt;=-500,IF(ABS((AD70-AD69))&lt;500,"",IF((AD70-AD69)&gt;0,-ABS((AD70-AD69)/(AE70-AD69)),MIN(1,ABS((AD70-AD69)/(AE70-AD69))))),IF(ABS((AD70-AD69))&lt;500,1,MIN(1,500/ABS((AD70-AD69))))))</f>
        <v/>
      </c>
      <c r="AI70">
        <f>IF(AND(ABS((AD70-AD69))&lt;500,ABS((AE70-AD69))&lt;500),1,IF(AND(ABS((AD70-AD69))&lt;500,ABS((AE70-AD69))&gt;=500),0,IF((AD70-AD69)*(AE70-AD69)&gt;0,1,0)))</f>
        <v/>
      </c>
      <c r="AK70" s="6" t="n">
        <v>49333.33</v>
      </c>
      <c r="AL70" s="7" t="n">
        <v>46006.566</v>
      </c>
      <c r="AM70">
        <f>ABS(AK70-AL70)</f>
        <v/>
      </c>
      <c r="AN70" s="8">
        <f>IF(AK70=0,"-",1-ABS(AK70-AL70)/AK70)</f>
        <v/>
      </c>
      <c r="AO70">
        <f>IF((AL70-AK69)&gt;=500,IF(ABS((AK70-AK69))&lt;500,"",IF((AK70-AK69)&lt;0,-ABS((AK70-AK69)/(AL70-AK69)),MIN(1,ABS((AK70-AK69)/(AL70-AK69))))),IF((AL70-AK69)&lt;=-500,IF(ABS((AK70-AK69))&lt;500,"",IF((AK70-AK69)&gt;0,-ABS((AK70-AK69)/(AL70-AK69)),MIN(1,ABS((AK70-AK69)/(AL70-AK69))))),IF(ABS((AK70-AK69))&lt;500,1,MIN(1,500/ABS((AK70-AK69))))))</f>
        <v/>
      </c>
      <c r="AP70">
        <f>IF(AND(ABS((AK70-AK69))&lt;500,ABS((AL70-AK69))&lt;500),1,IF(AND(ABS((AK70-AK69))&lt;500,ABS((AL70-AK69))&gt;=500),0,IF((AK70-AK69)*(AL70-AK69)&gt;0,1,0)))</f>
        <v/>
      </c>
    </row>
    <row r="71">
      <c r="A71" s="5" t="n">
        <v>46033</v>
      </c>
      <c r="B71" s="6" t="n">
        <v>51400</v>
      </c>
      <c r="C71" s="7" t="n">
        <v>50502.797</v>
      </c>
      <c r="D71">
        <f>ABS(B71-C71)</f>
        <v/>
      </c>
      <c r="E71" s="8">
        <f>IF(B71=0,"-",1-ABS(B71-C71)/B71)</f>
        <v/>
      </c>
      <c r="F71">
        <f>IF((C71-B70)&gt;=500,IF(ABS((B71-B70))&lt;500,"",IF((B71-B70)&lt;0,-ABS((B71-B70)/(C71-B70)),MIN(1,ABS((B71-B70)/(C71-B70))))),IF((C71-B70)&lt;=-500,IF(ABS((B71-B70))&lt;500,"",IF((B71-B70)&gt;0,-ABS((B71-B70)/(C71-B70)),MIN(1,ABS((B71-B70)/(C71-B70))))),IF(ABS((B71-B70))&lt;500,1,MIN(1,500/ABS((B71-B70))))))</f>
        <v/>
      </c>
      <c r="G71">
        <f>IF(AND(ABS((B71-B70))&lt;500,ABS((C71-B70))&lt;500),1,IF(AND(ABS((B71-B70))&lt;500,ABS((C71-B70))&gt;=500),0,IF((B71-B70)*(C71-B70)&gt;0,1,0)))</f>
        <v/>
      </c>
      <c r="I71" s="6" t="n">
        <v>50900</v>
      </c>
      <c r="J71" s="7" t="n">
        <v>51638.504</v>
      </c>
      <c r="K71">
        <f>ABS(I71-J71)</f>
        <v/>
      </c>
      <c r="L71" s="8">
        <f>IF(I71=0,"-",1-ABS(I71-J71)/I71)</f>
        <v/>
      </c>
      <c r="M71">
        <f>IF((J71-I70)&gt;=500,IF(ABS((I71-I70))&lt;500,"",IF((I71-I70)&lt;0,-ABS((I71-I70)/(J71-I70)),MIN(1,ABS((I71-I70)/(J71-I70))))),IF((J71-I70)&lt;=-500,IF(ABS((I71-I70))&lt;500,"",IF((I71-I70)&gt;0,-ABS((I71-I70)/(J71-I70)),MIN(1,ABS((I71-I70)/(J71-I70))))),IF(ABS((I71-I70))&lt;500,1,MIN(1,500/ABS((I71-I70))))))</f>
        <v/>
      </c>
      <c r="N71">
        <f>IF(AND(ABS((I71-I70))&lt;500,ABS((J71-I70))&lt;500),1,IF(AND(ABS((I71-I70))&lt;500,ABS((J71-I70))&gt;=500),0,IF((I71-I70)*(J71-I70)&gt;0,1,0)))</f>
        <v/>
      </c>
      <c r="P71" s="6" t="n">
        <v>53800</v>
      </c>
      <c r="Q71" s="7" t="n">
        <v>53037.71</v>
      </c>
      <c r="R71">
        <f>ABS(P71-Q71)</f>
        <v/>
      </c>
      <c r="S71" s="8">
        <f>IF(P71=0,"-",1-ABS(P71-Q71)/P71)</f>
        <v/>
      </c>
      <c r="T71">
        <f>IF((Q71-P70)&gt;=500,IF(ABS((P71-P70))&lt;500,"",IF((P71-P70)&lt;0,-ABS((P71-P70)/(Q71-P70)),MIN(1,ABS((P71-P70)/(Q71-P70))))),IF((Q71-P70)&lt;=-500,IF(ABS((P71-P70))&lt;500,"",IF((P71-P70)&gt;0,-ABS((P71-P70)/(Q71-P70)),MIN(1,ABS((P71-P70)/(Q71-P70))))),IF(ABS((P71-P70))&lt;500,1,MIN(1,500/ABS((P71-P70))))))</f>
        <v/>
      </c>
      <c r="U71">
        <f>IF(AND(ABS((P71-P70))&lt;500,ABS((Q71-P70))&lt;500),1,IF(AND(ABS((P71-P70))&lt;500,ABS((Q71-P70))&gt;=500),0,IF((P71-P70)*(Q71-P70)&gt;0,1,0)))</f>
        <v/>
      </c>
      <c r="W71" s="6" t="n">
        <v>48533.33</v>
      </c>
      <c r="X71" s="7" t="n">
        <v>48654.297</v>
      </c>
      <c r="Y71">
        <f>ABS(W71-X71)</f>
        <v/>
      </c>
      <c r="Z71" s="8">
        <f>IF(W71=0,"-",1-ABS(W71-X71)/W71)</f>
        <v/>
      </c>
      <c r="AA71">
        <f>IF((X71-W70)&gt;=500,IF(ABS((W71-W70))&lt;500,"",IF((W71-W70)&lt;0,-ABS((W71-W70)/(X71-W70)),MIN(1,ABS((W71-W70)/(X71-W70))))),IF((X71-W70)&lt;=-500,IF(ABS((W71-W70))&lt;500,"",IF((W71-W70)&gt;0,-ABS((W71-W70)/(X71-W70)),MIN(1,ABS((W71-W70)/(X71-W70))))),IF(ABS((W71-W70))&lt;500,1,MIN(1,500/ABS((W71-W70))))))</f>
        <v/>
      </c>
      <c r="AB71">
        <f>IF(AND(ABS((W71-W70))&lt;500,ABS((X71-W70))&lt;500),1,IF(AND(ABS((W71-W70))&lt;500,ABS((X71-W70))&gt;=500),0,IF((W71-W70)*(X71-W70)&gt;0,1,0)))</f>
        <v/>
      </c>
      <c r="AD71" s="6" t="n">
        <v>43400</v>
      </c>
      <c r="AE71" s="7" t="n">
        <v>44033.156</v>
      </c>
      <c r="AF71">
        <f>ABS(AD71-AE71)</f>
        <v/>
      </c>
      <c r="AG71" s="8">
        <f>IF(AD71=0,"-",1-ABS(AD71-AE71)/AD71)</f>
        <v/>
      </c>
      <c r="AH71">
        <f>IF((AE71-AD70)&gt;=500,IF(ABS((AD71-AD70))&lt;500,"",IF((AD71-AD70)&lt;0,-ABS((AD71-AD70)/(AE71-AD70)),MIN(1,ABS((AD71-AD70)/(AE71-AD70))))),IF((AE71-AD70)&lt;=-500,IF(ABS((AD71-AD70))&lt;500,"",IF((AD71-AD70)&gt;0,-ABS((AD71-AD70)/(AE71-AD70)),MIN(1,ABS((AD71-AD70)/(AE71-AD70))))),IF(ABS((AD71-AD70))&lt;500,1,MIN(1,500/ABS((AD71-AD70))))))</f>
        <v/>
      </c>
      <c r="AI71">
        <f>IF(AND(ABS((AD71-AD70))&lt;500,ABS((AE71-AD70))&lt;500),1,IF(AND(ABS((AD71-AD70))&lt;500,ABS((AE71-AD70))&gt;=500),0,IF((AD71-AD70)*(AE71-AD70)&gt;0,1,0)))</f>
        <v/>
      </c>
      <c r="AK71" s="6" t="n">
        <v>48250</v>
      </c>
      <c r="AL71" s="7" t="n">
        <v>49592.77</v>
      </c>
      <c r="AM71">
        <f>ABS(AK71-AL71)</f>
        <v/>
      </c>
      <c r="AN71" s="8">
        <f>IF(AK71=0,"-",1-ABS(AK71-AL71)/AK71)</f>
        <v/>
      </c>
      <c r="AO71">
        <f>IF((AL71-AK70)&gt;=500,IF(ABS((AK71-AK70))&lt;500,"",IF((AK71-AK70)&lt;0,-ABS((AK71-AK70)/(AL71-AK70)),MIN(1,ABS((AK71-AK70)/(AL71-AK70))))),IF((AL71-AK70)&lt;=-500,IF(ABS((AK71-AK70))&lt;500,"",IF((AK71-AK70)&gt;0,-ABS((AK71-AK70)/(AL71-AK70)),MIN(1,ABS((AK71-AK70)/(AL71-AK70))))),IF(ABS((AK71-AK70))&lt;500,1,MIN(1,500/ABS((AK71-AK70))))))</f>
        <v/>
      </c>
      <c r="AP71">
        <f>IF(AND(ABS((AK71-AK70))&lt;500,ABS((AL71-AK70))&lt;500),1,IF(AND(ABS((AK71-AK70))&lt;500,ABS((AL71-AK70))&gt;=500),0,IF((AK71-AK70)*(AL71-AK70)&gt;0,1,0)))</f>
        <v/>
      </c>
    </row>
    <row r="72">
      <c r="A72" s="5" t="n">
        <v>46040</v>
      </c>
      <c r="B72" s="6" t="n">
        <v>52000</v>
      </c>
      <c r="C72" s="7" t="n">
        <v>51654.32</v>
      </c>
      <c r="D72">
        <f>ABS(B72-C72)</f>
        <v/>
      </c>
      <c r="E72" s="8">
        <f>IF(B72=0,"-",1-ABS(B72-C72)/B72)</f>
        <v/>
      </c>
      <c r="F72">
        <f>IF((C72-B71)&gt;=500,IF(ABS((B72-B71))&lt;500,"",IF((B72-B71)&lt;0,-ABS((B72-B71)/(C72-B71)),MIN(1,ABS((B72-B71)/(C72-B71))))),IF((C72-B71)&lt;=-500,IF(ABS((B72-B71))&lt;500,"",IF((B72-B71)&gt;0,-ABS((B72-B71)/(C72-B71)),MIN(1,ABS((B72-B71)/(C72-B71))))),IF(ABS((B72-B71))&lt;500,1,MIN(1,500/ABS((B72-B71))))))</f>
        <v/>
      </c>
      <c r="G72">
        <f>IF(AND(ABS((B72-B71))&lt;500,ABS((C72-B71))&lt;500),1,IF(AND(ABS((B72-B71))&lt;500,ABS((C72-B71))&gt;=500),0,IF((B72-B71)*(C72-B71)&gt;0,1,0)))</f>
        <v/>
      </c>
      <c r="I72" s="6" t="n">
        <v>51850</v>
      </c>
      <c r="J72" s="7" t="n">
        <v>50957.258</v>
      </c>
      <c r="K72">
        <f>ABS(I72-J72)</f>
        <v/>
      </c>
      <c r="L72" s="8">
        <f>IF(I72=0,"-",1-ABS(I72-J72)/I72)</f>
        <v/>
      </c>
      <c r="M72">
        <f>IF((J72-I71)&gt;=500,IF(ABS((I72-I71))&lt;500,"",IF((I72-I71)&lt;0,-ABS((I72-I71)/(J72-I71)),MIN(1,ABS((I72-I71)/(J72-I71))))),IF((J72-I71)&lt;=-500,IF(ABS((I72-I71))&lt;500,"",IF((I72-I71)&gt;0,-ABS((I72-I71)/(J72-I71)),MIN(1,ABS((I72-I71)/(J72-I71))))),IF(ABS((I72-I71))&lt;500,1,MIN(1,500/ABS((I72-I71))))))</f>
        <v/>
      </c>
      <c r="N72">
        <f>IF(AND(ABS((I72-I71))&lt;500,ABS((J72-I71))&lt;500),1,IF(AND(ABS((I72-I71))&lt;500,ABS((J72-I71))&gt;=500),0,IF((I72-I71)*(J72-I71)&gt;0,1,0)))</f>
        <v/>
      </c>
      <c r="P72" s="6" t="n">
        <v>55300</v>
      </c>
      <c r="Q72" s="7" t="n">
        <v>54309.176</v>
      </c>
      <c r="R72">
        <f>ABS(P72-Q72)</f>
        <v/>
      </c>
      <c r="S72" s="8">
        <f>IF(P72=0,"-",1-ABS(P72-Q72)/P72)</f>
        <v/>
      </c>
      <c r="T72">
        <f>IF((Q72-P71)&gt;=500,IF(ABS((P72-P71))&lt;500,"",IF((P72-P71)&lt;0,-ABS((P72-P71)/(Q72-P71)),MIN(1,ABS((P72-P71)/(Q72-P71))))),IF((Q72-P71)&lt;=-500,IF(ABS((P72-P71))&lt;500,"",IF((P72-P71)&gt;0,-ABS((P72-P71)/(Q72-P71)),MIN(1,ABS((P72-P71)/(Q72-P71))))),IF(ABS((P72-P71))&lt;500,1,MIN(1,500/ABS((P72-P71))))))</f>
        <v/>
      </c>
      <c r="U72">
        <f>IF(AND(ABS((P72-P71))&lt;500,ABS((Q72-P71))&lt;500),1,IF(AND(ABS((P72-P71))&lt;500,ABS((Q72-P71))&gt;=500),0,IF((P72-P71)*(Q72-P71)&gt;0,1,0)))</f>
        <v/>
      </c>
      <c r="W72" s="6" t="n">
        <v>49140</v>
      </c>
      <c r="X72" s="7" t="n">
        <v>48712.844</v>
      </c>
      <c r="Y72">
        <f>ABS(W72-X72)</f>
        <v/>
      </c>
      <c r="Z72" s="8">
        <f>IF(W72=0,"-",1-ABS(W72-X72)/W72)</f>
        <v/>
      </c>
      <c r="AA72">
        <f>IF((X72-W71)&gt;=500,IF(ABS((W72-W71))&lt;500,"",IF((W72-W71)&lt;0,-ABS((W72-W71)/(X72-W71)),MIN(1,ABS((W72-W71)/(X72-W71))))),IF((X72-W71)&lt;=-500,IF(ABS((W72-W71))&lt;500,"",IF((W72-W71)&gt;0,-ABS((W72-W71)/(X72-W71)),MIN(1,ABS((W72-W71)/(X72-W71))))),IF(ABS((W72-W71))&lt;500,1,MIN(1,500/ABS((W72-W71))))))</f>
        <v/>
      </c>
      <c r="AB72">
        <f>IF(AND(ABS((W72-W71))&lt;500,ABS((X72-W71))&lt;500),1,IF(AND(ABS((W72-W71))&lt;500,ABS((X72-W71))&gt;=500),0,IF((W72-W71)*(X72-W71)&gt;0,1,0)))</f>
        <v/>
      </c>
      <c r="AD72" s="6" t="n">
        <v>43533.33</v>
      </c>
      <c r="AE72" s="7" t="n">
        <v>43338.945</v>
      </c>
      <c r="AF72">
        <f>ABS(AD72-AE72)</f>
        <v/>
      </c>
      <c r="AG72" s="8">
        <f>IF(AD72=0,"-",1-ABS(AD72-AE72)/AD72)</f>
        <v/>
      </c>
      <c r="AH72">
        <f>IF((AE72-AD71)&gt;=500,IF(ABS((AD72-AD71))&lt;500,"",IF((AD72-AD71)&lt;0,-ABS((AD72-AD71)/(AE72-AD71)),MIN(1,ABS((AD72-AD71)/(AE72-AD71))))),IF((AE72-AD71)&lt;=-500,IF(ABS((AD72-AD71))&lt;500,"",IF((AD72-AD71)&gt;0,-ABS((AD72-AD71)/(AE72-AD71)),MIN(1,ABS((AD72-AD71)/(AE72-AD71))))),IF(ABS((AD72-AD71))&lt;500,1,MIN(1,500/ABS((AD72-AD71))))))</f>
        <v/>
      </c>
      <c r="AI72">
        <f>IF(AND(ABS((AD72-AD71))&lt;500,ABS((AE72-AD71))&lt;500),1,IF(AND(ABS((AD72-AD71))&lt;500,ABS((AE72-AD71))&gt;=500),0,IF((AD72-AD71)*(AE72-AD71)&gt;0,1,0)))</f>
        <v/>
      </c>
      <c r="AK72" s="6" t="n">
        <v>48566.67</v>
      </c>
      <c r="AL72" s="7" t="n">
        <v>48452.96</v>
      </c>
      <c r="AM72">
        <f>ABS(AK72-AL72)</f>
        <v/>
      </c>
      <c r="AN72" s="8">
        <f>IF(AK72=0,"-",1-ABS(AK72-AL72)/AK72)</f>
        <v/>
      </c>
      <c r="AO72">
        <f>IF((AL72-AK71)&gt;=500,IF(ABS((AK72-AK71))&lt;500,"",IF((AK72-AK71)&lt;0,-ABS((AK72-AK71)/(AL72-AK71)),MIN(1,ABS((AK72-AK71)/(AL72-AK71))))),IF((AL72-AK71)&lt;=-500,IF(ABS((AK72-AK71))&lt;500,"",IF((AK72-AK71)&gt;0,-ABS((AK72-AK71)/(AL72-AK71)),MIN(1,ABS((AK72-AK71)/(AL72-AK71))))),IF(ABS((AK72-AK71))&lt;500,1,MIN(1,500/ABS((AK72-AK71))))))</f>
        <v/>
      </c>
      <c r="AP72">
        <f>IF(AND(ABS((AK72-AK71))&lt;500,ABS((AL72-AK71))&lt;500),1,IF(AND(ABS((AK72-AK71))&lt;500,ABS((AL72-AK71))&gt;=500),0,IF((AK72-AK71)*(AL72-AK71)&gt;0,1,0)))</f>
        <v/>
      </c>
    </row>
    <row r="73">
      <c r="A73" s="5" t="n">
        <v>46047</v>
      </c>
      <c r="B73" s="6" t="n">
        <v>53000</v>
      </c>
      <c r="C73" s="7" t="n">
        <v>52319.37</v>
      </c>
      <c r="D73">
        <f>ABS(B73-C73)</f>
        <v/>
      </c>
      <c r="E73" s="8">
        <f>IF(B73=0,"-",1-ABS(B73-C73)/B73)</f>
        <v/>
      </c>
      <c r="F73">
        <f>IF((C73-B72)&gt;=500,IF(ABS((B73-B72))&lt;500,"",IF((B73-B72)&lt;0,-ABS((B73-B72)/(C73-B72)),MIN(1,ABS((B73-B72)/(C73-B72))))),IF((C73-B72)&lt;=-500,IF(ABS((B73-B72))&lt;500,"",IF((B73-B72)&gt;0,-ABS((B73-B72)/(C73-B72)),MIN(1,ABS((B73-B72)/(C73-B72))))),IF(ABS((B73-B72))&lt;500,1,MIN(1,500/ABS((B73-B72))))))</f>
        <v/>
      </c>
      <c r="G73">
        <f>IF(AND(ABS((B73-B72))&lt;500,ABS((C73-B72))&lt;500),1,IF(AND(ABS((B73-B72))&lt;500,ABS((C73-B72))&gt;=500),0,IF((B73-B72)*(C73-B72)&gt;0,1,0)))</f>
        <v/>
      </c>
      <c r="I73" s="6" t="n">
        <v>52450</v>
      </c>
      <c r="J73" s="7" t="n">
        <v>52165.402</v>
      </c>
      <c r="K73">
        <f>ABS(I73-J73)</f>
        <v/>
      </c>
      <c r="L73" s="8">
        <f>IF(I73=0,"-",1-ABS(I73-J73)/I73)</f>
        <v/>
      </c>
      <c r="M73">
        <f>IF((J73-I72)&gt;=500,IF(ABS((I73-I72))&lt;500,"",IF((I73-I72)&lt;0,-ABS((I73-I72)/(J73-I72)),MIN(1,ABS((I73-I72)/(J73-I72))))),IF((J73-I72)&lt;=-500,IF(ABS((I73-I72))&lt;500,"",IF((I73-I72)&gt;0,-ABS((I73-I72)/(J73-I72)),MIN(1,ABS((I73-I72)/(J73-I72))))),IF(ABS((I73-I72))&lt;500,1,MIN(1,500/ABS((I73-I72))))))</f>
        <v/>
      </c>
      <c r="N73">
        <f>IF(AND(ABS((I73-I72))&lt;500,ABS((J73-I72))&lt;500),1,IF(AND(ABS((I73-I72))&lt;500,ABS((J73-I72))&gt;=500),0,IF((I73-I72)*(J73-I72)&gt;0,1,0)))</f>
        <v/>
      </c>
      <c r="P73" s="6" t="n">
        <v>56700</v>
      </c>
      <c r="Q73" s="7" t="n">
        <v>55872.98</v>
      </c>
      <c r="R73">
        <f>ABS(P73-Q73)</f>
        <v/>
      </c>
      <c r="S73" s="8">
        <f>IF(P73=0,"-",1-ABS(P73-Q73)/P73)</f>
        <v/>
      </c>
      <c r="T73">
        <f>IF((Q73-P72)&gt;=500,IF(ABS((P73-P72))&lt;500,"",IF((P73-P72)&lt;0,-ABS((P73-P72)/(Q73-P72)),MIN(1,ABS((P73-P72)/(Q73-P72))))),IF((Q73-P72)&lt;=-500,IF(ABS((P73-P72))&lt;500,"",IF((P73-P72)&gt;0,-ABS((P73-P72)/(Q73-P72)),MIN(1,ABS((P73-P72)/(Q73-P72))))),IF(ABS((P73-P72))&lt;500,1,MIN(1,500/ABS((P73-P72))))))</f>
        <v/>
      </c>
      <c r="U73">
        <f>IF(AND(ABS((P73-P72))&lt;500,ABS((Q73-P72))&lt;500),1,IF(AND(ABS((P73-P72))&lt;500,ABS((Q73-P72))&gt;=500),0,IF((P73-P72)*(Q73-P72)&gt;0,1,0)))</f>
        <v/>
      </c>
      <c r="W73" s="6" t="n">
        <v>50100</v>
      </c>
      <c r="X73" s="7" t="n">
        <v>49121.28</v>
      </c>
      <c r="Y73">
        <f>ABS(W73-X73)</f>
        <v/>
      </c>
      <c r="Z73" s="8">
        <f>IF(W73=0,"-",1-ABS(W73-X73)/W73)</f>
        <v/>
      </c>
      <c r="AA73">
        <f>IF((X73-W72)&gt;=500,IF(ABS((W73-W72))&lt;500,"",IF((W73-W72)&lt;0,-ABS((W73-W72)/(X73-W72)),MIN(1,ABS((W73-W72)/(X73-W72))))),IF((X73-W72)&lt;=-500,IF(ABS((W73-W72))&lt;500,"",IF((W73-W72)&gt;0,-ABS((W73-W72)/(X73-W72)),MIN(1,ABS((W73-W72)/(X73-W72))))),IF(ABS((W73-W72))&lt;500,1,MIN(1,500/ABS((W73-W72))))))</f>
        <v/>
      </c>
      <c r="AB73">
        <f>IF(AND(ABS((W73-W72))&lt;500,ABS((X73-W72))&lt;500),1,IF(AND(ABS((W73-W72))&lt;500,ABS((X73-W72))&gt;=500),0,IF((W73-W72)*(X73-W72)&gt;0,1,0)))</f>
        <v/>
      </c>
      <c r="AD73" s="6" t="n">
        <v>44116.67</v>
      </c>
      <c r="AE73" s="7" t="n">
        <v>43324.66</v>
      </c>
      <c r="AF73">
        <f>ABS(AD73-AE73)</f>
        <v/>
      </c>
      <c r="AG73" s="8">
        <f>IF(AD73=0,"-",1-ABS(AD73-AE73)/AD73)</f>
        <v/>
      </c>
      <c r="AH73">
        <f>IF((AE73-AD72)&gt;=500,IF(ABS((AD73-AD72))&lt;500,"",IF((AD73-AD72)&lt;0,-ABS((AD73-AD72)/(AE73-AD72)),MIN(1,ABS((AD73-AD72)/(AE73-AD72))))),IF((AE73-AD72)&lt;=-500,IF(ABS((AD73-AD72))&lt;500,"",IF((AD73-AD72)&gt;0,-ABS((AD73-AD72)/(AE73-AD72)),MIN(1,ABS((AD73-AD72)/(AE73-AD72))))),IF(ABS((AD73-AD72))&lt;500,1,MIN(1,500/ABS((AD73-AD72))))))</f>
        <v/>
      </c>
      <c r="AI73">
        <f>IF(AND(ABS((AD73-AD72))&lt;500,ABS((AE73-AD72))&lt;500),1,IF(AND(ABS((AD73-AD72))&lt;500,ABS((AE73-AD72))&gt;=500),0,IF((AD73-AD72)*(AE73-AD72)&gt;0,1,0)))</f>
        <v/>
      </c>
      <c r="AK73" s="6" t="n">
        <v>49333.33</v>
      </c>
      <c r="AL73" s="7" t="n">
        <v>48713.32</v>
      </c>
      <c r="AM73">
        <f>ABS(AK73-AL73)</f>
        <v/>
      </c>
      <c r="AN73" s="8">
        <f>IF(AK73=0,"-",1-ABS(AK73-AL73)/AK73)</f>
        <v/>
      </c>
      <c r="AO73">
        <f>IF((AL73-AK72)&gt;=500,IF(ABS((AK73-AK72))&lt;500,"",IF((AK73-AK72)&lt;0,-ABS((AK73-AK72)/(AL73-AK72)),MIN(1,ABS((AK73-AK72)/(AL73-AK72))))),IF((AL73-AK72)&lt;=-500,IF(ABS((AK73-AK72))&lt;500,"",IF((AK73-AK72)&gt;0,-ABS((AK73-AK72)/(AL73-AK72)),MIN(1,ABS((AK73-AK72)/(AL73-AK72))))),IF(ABS((AK73-AK72))&lt;500,1,MIN(1,500/ABS((AK73-AK72))))))</f>
        <v/>
      </c>
      <c r="AP73">
        <f>IF(AND(ABS((AK73-AK72))&lt;500,ABS((AL73-AK72))&lt;500),1,IF(AND(ABS((AK73-AK72))&lt;500,ABS((AL73-AK72))&gt;=500),0,IF((AK73-AK72)*(AL73-AK72)&gt;0,1,0)))</f>
        <v/>
      </c>
    </row>
    <row r="74">
      <c r="A74" s="5" t="n">
        <v>46054</v>
      </c>
      <c r="B74" s="6" t="n">
        <v>53400</v>
      </c>
      <c r="C74" s="7" t="n">
        <v>53257.883</v>
      </c>
      <c r="D74">
        <f>ABS(B74-C74)</f>
        <v/>
      </c>
      <c r="E74" s="8">
        <f>IF(B74=0,"-",1-ABS(B74-C74)/B74)</f>
        <v/>
      </c>
      <c r="F74">
        <f>IF((C74-B73)&gt;=500,IF(ABS((B74-B73))&lt;500,"",IF((B74-B73)&lt;0,-ABS((B74-B73)/(C74-B73)),MIN(1,ABS((B74-B73)/(C74-B73))))),IF((C74-B73)&lt;=-500,IF(ABS((B74-B73))&lt;500,"",IF((B74-B73)&gt;0,-ABS((B74-B73)/(C74-B73)),MIN(1,ABS((B74-B73)/(C74-B73))))),IF(ABS((B74-B73))&lt;500,1,MIN(1,500/ABS((B74-B73))))))</f>
        <v/>
      </c>
      <c r="G74">
        <f>IF(AND(ABS((B74-B73))&lt;500,ABS((C74-B73))&lt;500),1,IF(AND(ABS((B74-B73))&lt;500,ABS((C74-B73))&gt;=500),0,IF((B74-B73)*(C74-B73)&gt;0,1,0)))</f>
        <v/>
      </c>
      <c r="I74" s="6" t="n">
        <v>53250</v>
      </c>
      <c r="J74" s="7" t="n">
        <v>52667.9</v>
      </c>
      <c r="K74">
        <f>ABS(I74-J74)</f>
        <v/>
      </c>
      <c r="L74" s="8">
        <f>IF(I74=0,"-",1-ABS(I74-J74)/I74)</f>
        <v/>
      </c>
      <c r="M74">
        <f>IF((J74-I73)&gt;=500,IF(ABS((I74-I73))&lt;500,"",IF((I74-I73)&lt;0,-ABS((I74-I73)/(J74-I73)),MIN(1,ABS((I74-I73)/(J74-I73))))),IF((J74-I73)&lt;=-500,IF(ABS((I74-I73))&lt;500,"",IF((I74-I73)&gt;0,-ABS((I74-I73)/(J74-I73)),MIN(1,ABS((I74-I73)/(J74-I73))))),IF(ABS((I74-I73))&lt;500,1,MIN(1,500/ABS((I74-I73))))))</f>
        <v/>
      </c>
      <c r="N74">
        <f>IF(AND(ABS((I74-I73))&lt;500,ABS((J74-I73))&lt;500),1,IF(AND(ABS((I74-I73))&lt;500,ABS((J74-I73))&gt;=500),0,IF((I74-I73)*(J74-I73)&gt;0,1,0)))</f>
        <v/>
      </c>
      <c r="P74" s="6" t="n">
        <v>58100</v>
      </c>
      <c r="Q74" s="7" t="n">
        <v>57290.74</v>
      </c>
      <c r="R74">
        <f>ABS(P74-Q74)</f>
        <v/>
      </c>
      <c r="S74" s="8">
        <f>IF(P74=0,"-",1-ABS(P74-Q74)/P74)</f>
        <v/>
      </c>
      <c r="T74">
        <f>IF((Q74-P73)&gt;=500,IF(ABS((P74-P73))&lt;500,"",IF((P74-P73)&lt;0,-ABS((P74-P73)/(Q74-P73)),MIN(1,ABS((P74-P73)/(Q74-P73))))),IF((Q74-P73)&lt;=-500,IF(ABS((P74-P73))&lt;500,"",IF((P74-P73)&gt;0,-ABS((P74-P73)/(Q74-P73)),MIN(1,ABS((P74-P73)/(Q74-P73))))),IF(ABS((P74-P73))&lt;500,1,MIN(1,500/ABS((P74-P73))))))</f>
        <v/>
      </c>
      <c r="U74">
        <f>IF(AND(ABS((P74-P73))&lt;500,ABS((Q74-P73))&lt;500),1,IF(AND(ABS((P74-P73))&lt;500,ABS((Q74-P73))&gt;=500),0,IF((P74-P73)*(Q74-P73)&gt;0,1,0)))</f>
        <v/>
      </c>
      <c r="W74" s="6" t="n">
        <v>50520</v>
      </c>
      <c r="X74" s="7" t="n">
        <v>50009.4</v>
      </c>
      <c r="Y74">
        <f>ABS(W74-X74)</f>
        <v/>
      </c>
      <c r="Z74" s="8">
        <f>IF(W74=0,"-",1-ABS(W74-X74)/W74)</f>
        <v/>
      </c>
      <c r="AA74">
        <f>IF((X74-W73)&gt;=500,IF(ABS((W74-W73))&lt;500,"",IF((W74-W73)&lt;0,-ABS((W74-W73)/(X74-W73)),MIN(1,ABS((W74-W73)/(X74-W73))))),IF((X74-W73)&lt;=-500,IF(ABS((W74-W73))&lt;500,"",IF((W74-W73)&gt;0,-ABS((W74-W73)/(X74-W73)),MIN(1,ABS((W74-W73)/(X74-W73))))),IF(ABS((W74-W73))&lt;500,1,MIN(1,500/ABS((W74-W73))))))</f>
        <v/>
      </c>
      <c r="AB74">
        <f>IF(AND(ABS((W74-W73))&lt;500,ABS((X74-W73))&lt;500),1,IF(AND(ABS((W74-W73))&lt;500,ABS((X74-W73))&gt;=500),0,IF((W74-W73)*(X74-W73)&gt;0,1,0)))</f>
        <v/>
      </c>
      <c r="AD74" s="6" t="n">
        <v>43940</v>
      </c>
      <c r="AE74" s="7" t="n">
        <v>43801.883</v>
      </c>
      <c r="AF74">
        <f>ABS(AD74-AE74)</f>
        <v/>
      </c>
      <c r="AG74" s="8">
        <f>IF(AD74=0,"-",1-ABS(AD74-AE74)/AD74)</f>
        <v/>
      </c>
      <c r="AH74">
        <f>IF((AE74-AD73)&gt;=500,IF(ABS((AD74-AD73))&lt;500,"",IF((AD74-AD73)&lt;0,-ABS((AD74-AD73)/(AE74-AD73)),MIN(1,ABS((AD74-AD73)/(AE74-AD73))))),IF((AE74-AD73)&lt;=-500,IF(ABS((AD74-AD73))&lt;500,"",IF((AD74-AD73)&gt;0,-ABS((AD74-AD73)/(AE74-AD73)),MIN(1,ABS((AD74-AD73)/(AE74-AD73))))),IF(ABS((AD74-AD73))&lt;500,1,MIN(1,500/ABS((AD74-AD73))))))</f>
        <v/>
      </c>
      <c r="AI74">
        <f>IF(AND(ABS((AD74-AD73))&lt;500,ABS((AE74-AD73))&lt;500),1,IF(AND(ABS((AD74-AD73))&lt;500,ABS((AE74-AD73))&gt;=500),0,IF((AD74-AD73)*(AE74-AD73)&gt;0,1,0)))</f>
        <v/>
      </c>
      <c r="AK74" s="6" t="n">
        <v>49140</v>
      </c>
      <c r="AL74" s="7" t="n">
        <v>49405.824</v>
      </c>
      <c r="AM74">
        <f>ABS(AK74-AL74)</f>
        <v/>
      </c>
      <c r="AN74" s="8">
        <f>IF(AK74=0,"-",1-ABS(AK74-AL74)/AK74)</f>
        <v/>
      </c>
      <c r="AO74">
        <f>IF((AL74-AK73)&gt;=500,IF(ABS((AK74-AK73))&lt;500,"",IF((AK74-AK73)&lt;0,-ABS((AK74-AK73)/(AL74-AK73)),MIN(1,ABS((AK74-AK73)/(AL74-AK73))))),IF((AL74-AK73)&lt;=-500,IF(ABS((AK74-AK73))&lt;500,"",IF((AK74-AK73)&gt;0,-ABS((AK74-AK73)/(AL74-AK73)),MIN(1,ABS((AK74-AK73)/(AL74-AK73))))),IF(ABS((AK74-AK73))&lt;500,1,MIN(1,500/ABS((AK74-AK73))))))</f>
        <v/>
      </c>
      <c r="AP74">
        <f>IF(AND(ABS((AK74-AK73))&lt;500,ABS((AL74-AK73))&lt;500),1,IF(AND(ABS((AK74-AK73))&lt;500,ABS((AL74-AK73))&gt;=500),0,IF((AK74-AK73)*(AL74-AK73)&gt;0,1,0)))</f>
        <v/>
      </c>
    </row>
    <row r="75">
      <c r="A75" s="5" t="n">
        <v>46061</v>
      </c>
      <c r="B75" s="6" t="n">
        <v>55100</v>
      </c>
      <c r="C75" s="7" t="n">
        <v>53520.5</v>
      </c>
      <c r="D75">
        <f>ABS(B75-C75)</f>
        <v/>
      </c>
      <c r="E75" s="8">
        <f>IF(B75=0,"-",1-ABS(B75-C75)/B75)</f>
        <v/>
      </c>
      <c r="F75">
        <f>IF((C75-B74)&gt;=500,IF(ABS((B75-B74))&lt;500,"",IF((B75-B74)&lt;0,-ABS((B75-B74)/(C75-B74)),MIN(1,ABS((B75-B74)/(C75-B74))))),IF((C75-B74)&lt;=-500,IF(ABS((B75-B74))&lt;500,"",IF((B75-B74)&gt;0,-ABS((B75-B74)/(C75-B74)),MIN(1,ABS((B75-B74)/(C75-B74))))),IF(ABS((B75-B74))&lt;500,1,MIN(1,500/ABS((B75-B74))))))</f>
        <v/>
      </c>
      <c r="G75">
        <f>IF(AND(ABS((B75-B74))&lt;500,ABS((C75-B74))&lt;500),1,IF(AND(ABS((B75-B74))&lt;500,ABS((C75-B74))&gt;=500),0,IF((B75-B74)*(C75-B74)&gt;0,1,0)))</f>
        <v/>
      </c>
      <c r="I75" s="6" t="n">
        <v>53850</v>
      </c>
      <c r="J75" s="7" t="n">
        <v>53448.965</v>
      </c>
      <c r="K75">
        <f>ABS(I75-J75)</f>
        <v/>
      </c>
      <c r="L75" s="8">
        <f>IF(I75=0,"-",1-ABS(I75-J75)/I75)</f>
        <v/>
      </c>
      <c r="M75">
        <f>IF((J75-I74)&gt;=500,IF(ABS((I75-I74))&lt;500,"",IF((I75-I74)&lt;0,-ABS((I75-I74)/(J75-I74)),MIN(1,ABS((I75-I74)/(J75-I74))))),IF((J75-I74)&lt;=-500,IF(ABS((I75-I74))&lt;500,"",IF((I75-I74)&gt;0,-ABS((I75-I74)/(J75-I74)),MIN(1,ABS((I75-I74)/(J75-I74))))),IF(ABS((I75-I74))&lt;500,1,MIN(1,500/ABS((I75-I74))))))</f>
        <v/>
      </c>
      <c r="N75">
        <f>IF(AND(ABS((I75-I74))&lt;500,ABS((J75-I74))&lt;500),1,IF(AND(ABS((I75-I74))&lt;500,ABS((J75-I74))&gt;=500),0,IF((I75-I74)*(J75-I74)&gt;0,1,0)))</f>
        <v/>
      </c>
      <c r="P75" s="6" t="n">
        <v>58600</v>
      </c>
      <c r="Q75" s="7" t="n">
        <v>58461.727</v>
      </c>
      <c r="R75">
        <f>ABS(P75-Q75)</f>
        <v/>
      </c>
      <c r="S75" s="8">
        <f>IF(P75=0,"-",1-ABS(P75-Q75)/P75)</f>
        <v/>
      </c>
      <c r="T75">
        <f>IF((Q75-P74)&gt;=500,IF(ABS((P75-P74))&lt;500,"",IF((P75-P74)&lt;0,-ABS((P75-P74)/(Q75-P74)),MIN(1,ABS((P75-P74)/(Q75-P74))))),IF((Q75-P74)&lt;=-500,IF(ABS((P75-P74))&lt;500,"",IF((P75-P74)&gt;0,-ABS((P75-P74)/(Q75-P74)),MIN(1,ABS((P75-P74)/(Q75-P74))))),IF(ABS((P75-P74))&lt;500,1,MIN(1,500/ABS((P75-P74))))))</f>
        <v/>
      </c>
      <c r="U75">
        <f>IF(AND(ABS((P75-P74))&lt;500,ABS((Q75-P74))&lt;500),1,IF(AND(ABS((P75-P74))&lt;500,ABS((Q75-P74))&gt;=500),0,IF((P75-P74)*(Q75-P74)&gt;0,1,0)))</f>
        <v/>
      </c>
      <c r="W75" s="6" t="n">
        <v>50150</v>
      </c>
      <c r="X75" s="7" t="n">
        <v>50379.61</v>
      </c>
      <c r="Y75">
        <f>ABS(W75-X75)</f>
        <v/>
      </c>
      <c r="Z75" s="8">
        <f>IF(W75=0,"-",1-ABS(W75-X75)/W75)</f>
        <v/>
      </c>
      <c r="AA75">
        <f>IF((X75-W74)&gt;=500,IF(ABS((W75-W74))&lt;500,"",IF((W75-W74)&lt;0,-ABS((W75-W74)/(X75-W74)),MIN(1,ABS((W75-W74)/(X75-W74))))),IF((X75-W74)&lt;=-500,IF(ABS((W75-W74))&lt;500,"",IF((W75-W74)&gt;0,-ABS((W75-W74)/(X75-W74)),MIN(1,ABS((W75-W74)/(X75-W74))))),IF(ABS((W75-W74))&lt;500,1,MIN(1,500/ABS((W75-W74))))))</f>
        <v/>
      </c>
      <c r="AB75">
        <f>IF(AND(ABS((W75-W74))&lt;500,ABS((X75-W74))&lt;500),1,IF(AND(ABS((W75-W74))&lt;500,ABS((X75-W74))&gt;=500),0,IF((W75-W74)*(X75-W74)&gt;0,1,0)))</f>
        <v/>
      </c>
      <c r="AD75" s="6" t="n">
        <v>44483.33</v>
      </c>
      <c r="AE75" s="7" t="n">
        <v>43666.516</v>
      </c>
      <c r="AF75">
        <f>ABS(AD75-AE75)</f>
        <v/>
      </c>
      <c r="AG75" s="8">
        <f>IF(AD75=0,"-",1-ABS(AD75-AE75)/AD75)</f>
        <v/>
      </c>
      <c r="AH75">
        <f>IF((AE75-AD74)&gt;=500,IF(ABS((AD75-AD74))&lt;500,"",IF((AD75-AD74)&lt;0,-ABS((AD75-AD74)/(AE75-AD74)),MIN(1,ABS((AD75-AD74)/(AE75-AD74))))),IF((AE75-AD74)&lt;=-500,IF(ABS((AD75-AD74))&lt;500,"",IF((AD75-AD74)&gt;0,-ABS((AD75-AD74)/(AE75-AD74)),MIN(1,ABS((AD75-AD74)/(AE75-AD74))))),IF(ABS((AD75-AD74))&lt;500,1,MIN(1,500/ABS((AD75-AD74))))))</f>
        <v/>
      </c>
      <c r="AI75">
        <f>IF(AND(ABS((AD75-AD74))&lt;500,ABS((AE75-AD74))&lt;500),1,IF(AND(ABS((AD75-AD74))&lt;500,ABS((AE75-AD74))&gt;=500),0,IF((AD75-AD74)*(AE75-AD74)&gt;0,1,0)))</f>
        <v/>
      </c>
      <c r="AK75" s="6" t="n">
        <v>49366.67</v>
      </c>
      <c r="AL75" s="7" t="n">
        <v>49227.438</v>
      </c>
      <c r="AM75">
        <f>ABS(AK75-AL75)</f>
        <v/>
      </c>
      <c r="AN75" s="8">
        <f>IF(AK75=0,"-",1-ABS(AK75-AL75)/AK75)</f>
        <v/>
      </c>
      <c r="AO75">
        <f>IF((AL75-AK74)&gt;=500,IF(ABS((AK75-AK74))&lt;500,"",IF((AK75-AK74)&lt;0,-ABS((AK75-AK74)/(AL75-AK74)),MIN(1,ABS((AK75-AK74)/(AL75-AK74))))),IF((AL75-AK74)&lt;=-500,IF(ABS((AK75-AK74))&lt;500,"",IF((AK75-AK74)&gt;0,-ABS((AK75-AK74)/(AL75-AK74)),MIN(1,ABS((AK75-AK74)/(AL75-AK74))))),IF(ABS((AK75-AK74))&lt;500,1,MIN(1,500/ABS((AK75-AK74))))))</f>
        <v/>
      </c>
      <c r="AP75">
        <f>IF(AND(ABS((AK75-AK74))&lt;500,ABS((AL75-AK74))&lt;500),1,IF(AND(ABS((AK75-AK74))&lt;500,ABS((AL75-AK74))&gt;=500),0,IF((AK75-AK74)*(AL75-AK74)&gt;0,1,0)))</f>
        <v/>
      </c>
    </row>
    <row r="76">
      <c r="A76" s="5" t="n">
        <v>46068</v>
      </c>
      <c r="B76" s="6" t="n">
        <v>55200</v>
      </c>
      <c r="C76" s="7" t="n">
        <v>54503.863</v>
      </c>
      <c r="D76">
        <f>ABS(B76-C76)</f>
        <v/>
      </c>
      <c r="E76" s="8">
        <f>IF(B76=0,"-",1-ABS(B76-C76)/B76)</f>
        <v/>
      </c>
      <c r="F76">
        <f>IF((C76-B75)&gt;=500,IF(ABS((B76-B75))&lt;500,"",IF((B76-B75)&lt;0,-ABS((B76-B75)/(C76-B75)),MIN(1,ABS((B76-B75)/(C76-B75))))),IF((C76-B75)&lt;=-500,IF(ABS((B76-B75))&lt;500,"",IF((B76-B75)&gt;0,-ABS((B76-B75)/(C76-B75)),MIN(1,ABS((B76-B75)/(C76-B75))))),IF(ABS((B76-B75))&lt;500,1,MIN(1,500/ABS((B76-B75))))))</f>
        <v/>
      </c>
      <c r="G76">
        <f>IF(AND(ABS((B76-B75))&lt;500,ABS((C76-B75))&lt;500),1,IF(AND(ABS((B76-B75))&lt;500,ABS((C76-B75))&gt;=500),0,IF((B76-B75)*(C76-B75)&gt;0,1,0)))</f>
        <v/>
      </c>
      <c r="H76" s="9">
        <f>COUNTIF(G76:G85,1)&amp;"/"&amp;COUNT(G76:G85)</f>
        <v/>
      </c>
      <c r="I76" s="6" t="n">
        <v>53650</v>
      </c>
      <c r="J76" s="7" t="n">
        <v>53903.1</v>
      </c>
      <c r="K76">
        <f>ABS(I76-J76)</f>
        <v/>
      </c>
      <c r="L76" s="8">
        <f>IF(I76=0,"-",1-ABS(I76-J76)/I76)</f>
        <v/>
      </c>
      <c r="M76">
        <f>IF((J76-I75)&gt;=500,IF(ABS((I76-I75))&lt;500,"",IF((I76-I75)&lt;0,-ABS((I76-I75)/(J76-I75)),MIN(1,ABS((I76-I75)/(J76-I75))))),IF((J76-I75)&lt;=-500,IF(ABS((I76-I75))&lt;500,"",IF((I76-I75)&gt;0,-ABS((I76-I75)/(J76-I75)),MIN(1,ABS((I76-I75)/(J76-I75))))),IF(ABS((I76-I75))&lt;500,1,MIN(1,500/ABS((I76-I75))))))</f>
        <v/>
      </c>
      <c r="N76">
        <f>IF(AND(ABS((I76-I75))&lt;500,ABS((J76-I75))&lt;500),1,IF(AND(ABS((I76-I75))&lt;500,ABS((J76-I75))&gt;=500),0,IF((I76-I75)*(J76-I75)&gt;0,1,0)))</f>
        <v/>
      </c>
      <c r="O76" s="9">
        <f>COUNTIF(N76:N85,1)&amp;"/"&amp;COUNT(N76:N85)</f>
        <v/>
      </c>
      <c r="P76" s="6" t="n">
        <v>58900</v>
      </c>
      <c r="Q76" s="7" t="n">
        <v>59201.895</v>
      </c>
      <c r="R76">
        <f>ABS(P76-Q76)</f>
        <v/>
      </c>
      <c r="S76" s="8">
        <f>IF(P76=0,"-",1-ABS(P76-Q76)/P76)</f>
        <v/>
      </c>
      <c r="T76">
        <f>IF((Q76-P75)&gt;=500,IF(ABS((P76-P75))&lt;500,"",IF((P76-P75)&lt;0,-ABS((P76-P75)/(Q76-P75)),MIN(1,ABS((P76-P75)/(Q76-P75))))),IF((Q76-P75)&lt;=-500,IF(ABS((P76-P75))&lt;500,"",IF((P76-P75)&gt;0,-ABS((P76-P75)/(Q76-P75)),MIN(1,ABS((P76-P75)/(Q76-P75))))),IF(ABS((P76-P75))&lt;500,1,MIN(1,500/ABS((P76-P75))))))</f>
        <v/>
      </c>
      <c r="U76">
        <f>IF(AND(ABS((P76-P75))&lt;500,ABS((Q76-P75))&lt;500),1,IF(AND(ABS((P76-P75))&lt;500,ABS((Q76-P75))&gt;=500),0,IF((P76-P75)*(Q76-P75)&gt;0,1,0)))</f>
        <v/>
      </c>
      <c r="V76" s="9">
        <f>COUNTIF(U76:U85,1)&amp;"/"&amp;COUNT(U76:U85)</f>
        <v/>
      </c>
      <c r="W76" s="6" t="n">
        <v>50000</v>
      </c>
      <c r="X76" s="7" t="n">
        <v>50302.434</v>
      </c>
      <c r="Y76">
        <f>ABS(W76-X76)</f>
        <v/>
      </c>
      <c r="Z76" s="8">
        <f>IF(W76=0,"-",1-ABS(W76-X76)/W76)</f>
        <v/>
      </c>
      <c r="AA76">
        <f>IF((X76-W75)&gt;=500,IF(ABS((W76-W75))&lt;500,"",IF((W76-W75)&lt;0,-ABS((W76-W75)/(X76-W75)),MIN(1,ABS((W76-W75)/(X76-W75))))),IF((X76-W75)&lt;=-500,IF(ABS((W76-W75))&lt;500,"",IF((W76-W75)&gt;0,-ABS((W76-W75)/(X76-W75)),MIN(1,ABS((W76-W75)/(X76-W75))))),IF(ABS((W76-W75))&lt;500,1,MIN(1,500/ABS((W76-W75))))))</f>
        <v/>
      </c>
      <c r="AB76">
        <f>IF(AND(ABS((W76-W75))&lt;500,ABS((X76-W75))&lt;500),1,IF(AND(ABS((W76-W75))&lt;500,ABS((X76-W75))&gt;=500),0,IF((W76-W75)*(X76-W75)&gt;0,1,0)))</f>
        <v/>
      </c>
      <c r="AC76" s="9">
        <f>COUNTIF(AB76:AB85,1)&amp;"/"&amp;COUNT(AB76:AB85)</f>
        <v/>
      </c>
      <c r="AD76" s="6" t="n">
        <v>45266.67</v>
      </c>
      <c r="AE76" s="7" t="n">
        <v>44548.91</v>
      </c>
      <c r="AF76">
        <f>ABS(AD76-AE76)</f>
        <v/>
      </c>
      <c r="AG76" s="8">
        <f>IF(AD76=0,"-",1-ABS(AD76-AE76)/AD76)</f>
        <v/>
      </c>
      <c r="AH76">
        <f>IF((AE76-AD75)&gt;=500,IF(ABS((AD76-AD75))&lt;500,"",IF((AD76-AD75)&lt;0,-ABS((AD76-AD75)/(AE76-AD75)),MIN(1,ABS((AD76-AD75)/(AE76-AD75))))),IF((AE76-AD75)&lt;=-500,IF(ABS((AD76-AD75))&lt;500,"",IF((AD76-AD75)&gt;0,-ABS((AD76-AD75)/(AE76-AD75)),MIN(1,ABS((AD76-AD75)/(AE76-AD75))))),IF(ABS((AD76-AD75))&lt;500,1,MIN(1,500/ABS((AD76-AD75))))))</f>
        <v/>
      </c>
      <c r="AI76">
        <f>IF(AND(ABS((AD76-AD75))&lt;500,ABS((AE76-AD75))&lt;500),1,IF(AND(ABS((AD76-AD75))&lt;500,ABS((AE76-AD75))&gt;=500),0,IF((AD76-AD75)*(AE76-AD75)&gt;0,1,0)))</f>
        <v/>
      </c>
      <c r="AJ76" s="9">
        <f>COUNTIF(AI76:AI85,1)&amp;"/"&amp;COUNT(AI76:AI85)</f>
        <v/>
      </c>
      <c r="AK76" s="6" t="n">
        <v>49800</v>
      </c>
      <c r="AL76" s="7" t="n">
        <v>49003.58</v>
      </c>
      <c r="AM76">
        <f>ABS(AK76-AL76)</f>
        <v/>
      </c>
      <c r="AN76" s="8">
        <f>IF(AK76=0,"-",1-ABS(AK76-AL76)/AK76)</f>
        <v/>
      </c>
      <c r="AO76">
        <f>IF((AL76-AK75)&gt;=500,IF(ABS((AK76-AK75))&lt;500,"",IF((AK76-AK75)&lt;0,-ABS((AK76-AK75)/(AL76-AK75)),MIN(1,ABS((AK76-AK75)/(AL76-AK75))))),IF((AL76-AK75)&lt;=-500,IF(ABS((AK76-AK75))&lt;500,"",IF((AK76-AK75)&gt;0,-ABS((AK76-AK75)/(AL76-AK75)),MIN(1,ABS((AK76-AK75)/(AL76-AK75))))),IF(ABS((AK76-AK75))&lt;500,1,MIN(1,500/ABS((AK76-AK75))))))</f>
        <v/>
      </c>
      <c r="AP76">
        <f>IF(AND(ABS((AK76-AK75))&lt;500,ABS((AL76-AK75))&lt;500),1,IF(AND(ABS((AK76-AK75))&lt;500,ABS((AL76-AK75))&gt;=500),0,IF((AK76-AK75)*(AL76-AK75)&gt;0,1,0)))</f>
        <v/>
      </c>
      <c r="AQ76" s="9">
        <f>COUNTIF(AP76:AP85,1)&amp;"/"&amp;COUNT(AP76:AP85)</f>
        <v/>
      </c>
    </row>
    <row r="77">
      <c r="A77" s="5" t="n">
        <v>46075</v>
      </c>
      <c r="B77" s="6" t="n">
        <v>54600</v>
      </c>
      <c r="C77" s="7" t="n">
        <v>54689.57</v>
      </c>
      <c r="D77">
        <f>ABS(B77-C77)</f>
        <v/>
      </c>
      <c r="E77" s="8">
        <f>IF(B77=0,"-",1-ABS(B77-C77)/B77)</f>
        <v/>
      </c>
      <c r="F77">
        <f>IF((C77-B76)&gt;=500,IF(ABS((B77-B76))&lt;500,"",IF((B77-B76)&lt;0,-ABS((B77-B76)/(C77-B76)),MIN(1,ABS((B77-B76)/(C77-B76))))),IF((C77-B76)&lt;=-500,IF(ABS((B77-B76))&lt;500,"",IF((B77-B76)&gt;0,-ABS((B77-B76)/(C77-B76)),MIN(1,ABS((B77-B76)/(C77-B76))))),IF(ABS((B77-B76))&lt;500,1,MIN(1,500/ABS((B77-B76))))))</f>
        <v/>
      </c>
      <c r="G77">
        <f>IF(AND(ABS((B77-B76))&lt;500,ABS((C77-B76))&lt;500),1,IF(AND(ABS((B77-B76))&lt;500,ABS((C77-B76))&gt;=500),0,IF((B77-B76)*(C77-B76)&gt;0,1,0)))</f>
        <v/>
      </c>
      <c r="I77" s="6" t="n">
        <v>53650</v>
      </c>
      <c r="J77" s="7" t="n">
        <v>53574.195</v>
      </c>
      <c r="K77">
        <f>ABS(I77-J77)</f>
        <v/>
      </c>
      <c r="L77" s="8">
        <f>IF(I77=0,"-",1-ABS(I77-J77)/I77)</f>
        <v/>
      </c>
      <c r="M77">
        <f>IF((J77-I76)&gt;=500,IF(ABS((I77-I76))&lt;500,"",IF((I77-I76)&lt;0,-ABS((I77-I76)/(J77-I76)),MIN(1,ABS((I77-I76)/(J77-I76))))),IF((J77-I76)&lt;=-500,IF(ABS((I77-I76))&lt;500,"",IF((I77-I76)&gt;0,-ABS((I77-I76)/(J77-I76)),MIN(1,ABS((I77-I76)/(J77-I76))))),IF(ABS((I77-I76))&lt;500,1,MIN(1,500/ABS((I77-I76))))))</f>
        <v/>
      </c>
      <c r="N77">
        <f>IF(AND(ABS((I77-I76))&lt;500,ABS((J77-I76))&lt;500),1,IF(AND(ABS((I77-I76))&lt;500,ABS((J77-I76))&gt;=500),0,IF((I77-I76)*(J77-I76)&gt;0,1,0)))</f>
        <v/>
      </c>
      <c r="P77" s="6" t="n">
        <v>59000</v>
      </c>
      <c r="Q77" s="7" t="n">
        <v>59633.766</v>
      </c>
      <c r="R77">
        <f>ABS(P77-Q77)</f>
        <v/>
      </c>
      <c r="S77" s="8">
        <f>IF(P77=0,"-",1-ABS(P77-Q77)/P77)</f>
        <v/>
      </c>
      <c r="T77">
        <f>IF((Q77-P76)&gt;=500,IF(ABS((P77-P76))&lt;500,"",IF((P77-P76)&lt;0,-ABS((P77-P76)/(Q77-P76)),MIN(1,ABS((P77-P76)/(Q77-P76))))),IF((Q77-P76)&lt;=-500,IF(ABS((P77-P76))&lt;500,"",IF((P77-P76)&gt;0,-ABS((P77-P76)/(Q77-P76)),MIN(1,ABS((P77-P76)/(Q77-P76))))),IF(ABS((P77-P76))&lt;500,1,MIN(1,500/ABS((P77-P76))))))</f>
        <v/>
      </c>
      <c r="U77">
        <f>IF(AND(ABS((P77-P76))&lt;500,ABS((Q77-P76))&lt;500),1,IF(AND(ABS((P77-P76))&lt;500,ABS((Q77-P76))&gt;=500),0,IF((P77-P76)*(Q77-P76)&gt;0,1,0)))</f>
        <v/>
      </c>
      <c r="W77" s="6" t="n">
        <v>49566.67</v>
      </c>
      <c r="X77" s="7" t="n">
        <v>50176.324</v>
      </c>
      <c r="Y77">
        <f>ABS(W77-X77)</f>
        <v/>
      </c>
      <c r="Z77" s="8">
        <f>IF(W77=0,"-",1-ABS(W77-X77)/W77)</f>
        <v/>
      </c>
      <c r="AA77">
        <f>IF((X77-W76)&gt;=500,IF(ABS((W77-W76))&lt;500,"",IF((W77-W76)&lt;0,-ABS((W77-W76)/(X77-W76)),MIN(1,ABS((W77-W76)/(X77-W76))))),IF((X77-W76)&lt;=-500,IF(ABS((W77-W76))&lt;500,"",IF((W77-W76)&gt;0,-ABS((W77-W76)/(X77-W76)),MIN(1,ABS((W77-W76)/(X77-W76))))),IF(ABS((W77-W76))&lt;500,1,MIN(1,500/ABS((W77-W76))))))</f>
        <v/>
      </c>
      <c r="AB77">
        <f>IF(AND(ABS((W77-W76))&lt;500,ABS((X77-W76))&lt;500),1,IF(AND(ABS((W77-W76))&lt;500,ABS((X77-W76))&gt;=500),0,IF((W77-W76)*(X77-W76)&gt;0,1,0)))</f>
        <v/>
      </c>
      <c r="AD77" s="6" t="n">
        <v>44566.67</v>
      </c>
      <c r="AE77" s="7" t="n">
        <v>45538.29</v>
      </c>
      <c r="AF77">
        <f>ABS(AD77-AE77)</f>
        <v/>
      </c>
      <c r="AG77" s="8">
        <f>IF(AD77=0,"-",1-ABS(AD77-AE77)/AD77)</f>
        <v/>
      </c>
      <c r="AH77">
        <f>IF((AE77-AD76)&gt;=500,IF(ABS((AD77-AD76))&lt;500,"",IF((AD77-AD76)&lt;0,-ABS((AD77-AD76)/(AE77-AD76)),MIN(1,ABS((AD77-AD76)/(AE77-AD76))))),IF((AE77-AD76)&lt;=-500,IF(ABS((AD77-AD76))&lt;500,"",IF((AD77-AD76)&gt;0,-ABS((AD77-AD76)/(AE77-AD76)),MIN(1,ABS((AD77-AD76)/(AE77-AD76))))),IF(ABS((AD77-AD76))&lt;500,1,MIN(1,500/ABS((AD77-AD76))))))</f>
        <v/>
      </c>
      <c r="AI77">
        <f>IF(AND(ABS((AD77-AD76))&lt;500,ABS((AE77-AD76))&lt;500),1,IF(AND(ABS((AD77-AD76))&lt;500,ABS((AE77-AD76))&gt;=500),0,IF((AD77-AD76)*(AE77-AD76)&gt;0,1,0)))</f>
        <v/>
      </c>
      <c r="AK77" s="6" t="n">
        <v>49116.67</v>
      </c>
      <c r="AL77" s="7" t="n">
        <v>49376.336</v>
      </c>
      <c r="AM77">
        <f>ABS(AK77-AL77)</f>
        <v/>
      </c>
      <c r="AN77" s="8">
        <f>IF(AK77=0,"-",1-ABS(AK77-AL77)/AK77)</f>
        <v/>
      </c>
      <c r="AO77">
        <f>IF((AL77-AK76)&gt;=500,IF(ABS((AK77-AK76))&lt;500,"",IF((AK77-AK76)&lt;0,-ABS((AK77-AK76)/(AL77-AK76)),MIN(1,ABS((AK77-AK76)/(AL77-AK76))))),IF((AL77-AK76)&lt;=-500,IF(ABS((AK77-AK76))&lt;500,"",IF((AK77-AK76)&gt;0,-ABS((AK77-AK76)/(AL77-AK76)),MIN(1,ABS((AK77-AK76)/(AL77-AK76))))),IF(ABS((AK77-AK76))&lt;500,1,MIN(1,500/ABS((AK77-AK76))))))</f>
        <v/>
      </c>
      <c r="AP77">
        <f>IF(AND(ABS((AK77-AK76))&lt;500,ABS((AL77-AK76))&lt;500),1,IF(AND(ABS((AK77-AK76))&lt;500,ABS((AL77-AK76))&gt;=500),0,IF((AK77-AK76)*(AL77-AK76)&gt;0,1,0)))</f>
        <v/>
      </c>
    </row>
    <row r="78">
      <c r="A78" s="5" t="n">
        <v>46082</v>
      </c>
      <c r="B78" s="6" t="n">
        <v>54000</v>
      </c>
      <c r="C78" s="7" t="n">
        <v>54270.62</v>
      </c>
      <c r="D78">
        <f>ABS(B78-C78)</f>
        <v/>
      </c>
      <c r="E78" s="8">
        <f>IF(B78=0,"-",1-ABS(B78-C78)/B78)</f>
        <v/>
      </c>
      <c r="F78">
        <f>IF((C78-B77)&gt;=500,IF(ABS((B78-B77))&lt;500,"",IF((B78-B77)&lt;0,-ABS((B78-B77)/(C78-B77)),MIN(1,ABS((B78-B77)/(C78-B77))))),IF((C78-B77)&lt;=-500,IF(ABS((B78-B77))&lt;500,"",IF((B78-B77)&gt;0,-ABS((B78-B77)/(C78-B77)),MIN(1,ABS((B78-B77)/(C78-B77))))),IF(ABS((B78-B77))&lt;500,1,MIN(1,500/ABS((B78-B77))))))</f>
        <v/>
      </c>
      <c r="G78">
        <f>IF(AND(ABS((B78-B77))&lt;500,ABS((C78-B77))&lt;500),1,IF(AND(ABS((B78-B77))&lt;500,ABS((C78-B77))&gt;=500),0,IF((B78-B77)*(C78-B77)&gt;0,1,0)))</f>
        <v/>
      </c>
      <c r="I78" s="6" t="n">
        <v>53850</v>
      </c>
      <c r="J78" s="7" t="n">
        <v>53767.133</v>
      </c>
      <c r="K78">
        <f>ABS(I78-J78)</f>
        <v/>
      </c>
      <c r="L78" s="8">
        <f>IF(I78=0,"-",1-ABS(I78-J78)/I78)</f>
        <v/>
      </c>
      <c r="M78">
        <f>IF((J78-I77)&gt;=500,IF(ABS((I78-I77))&lt;500,"",IF((I78-I77)&lt;0,-ABS((I78-I77)/(J78-I77)),MIN(1,ABS((I78-I77)/(J78-I77))))),IF((J78-I77)&lt;=-500,IF(ABS((I78-I77))&lt;500,"",IF((I78-I77)&gt;0,-ABS((I78-I77)/(J78-I77)),MIN(1,ABS((I78-I77)/(J78-I77))))),IF(ABS((I78-I77))&lt;500,1,MIN(1,500/ABS((I78-I77))))))</f>
        <v/>
      </c>
      <c r="N78">
        <f>IF(AND(ABS((I78-I77))&lt;500,ABS((J78-I77))&lt;500),1,IF(AND(ABS((I78-I77))&lt;500,ABS((J78-I77))&gt;=500),0,IF((I78-I77)*(J78-I77)&gt;0,1,0)))</f>
        <v/>
      </c>
      <c r="P78" s="6" t="n">
        <v>59100</v>
      </c>
      <c r="Q78" s="7" t="n">
        <v>59560.004</v>
      </c>
      <c r="R78">
        <f>ABS(P78-Q78)</f>
        <v/>
      </c>
      <c r="S78" s="8">
        <f>IF(P78=0,"-",1-ABS(P78-Q78)/P78)</f>
        <v/>
      </c>
      <c r="T78">
        <f>IF((Q78-P77)&gt;=500,IF(ABS((P78-P77))&lt;500,"",IF((P78-P77)&lt;0,-ABS((P78-P77)/(Q78-P77)),MIN(1,ABS((P78-P77)/(Q78-P77))))),IF((Q78-P77)&lt;=-500,IF(ABS((P78-P77))&lt;500,"",IF((P78-P77)&gt;0,-ABS((P78-P77)/(Q78-P77)),MIN(1,ABS((P78-P77)/(Q78-P77))))),IF(ABS((P78-P77))&lt;500,1,MIN(1,500/ABS((P78-P77))))))</f>
        <v/>
      </c>
      <c r="U78">
        <f>IF(AND(ABS((P78-P77))&lt;500,ABS((Q78-P77))&lt;500),1,IF(AND(ABS((P78-P77))&lt;500,ABS((Q78-P77))&gt;=500),0,IF((P78-P77)*(Q78-P77)&gt;0,1,0)))</f>
        <v/>
      </c>
      <c r="W78" s="6" t="n">
        <v>49200</v>
      </c>
      <c r="X78" s="7" t="n">
        <v>49834.008</v>
      </c>
      <c r="Y78">
        <f>ABS(W78-X78)</f>
        <v/>
      </c>
      <c r="Z78" s="8">
        <f>IF(W78=0,"-",1-ABS(W78-X78)/W78)</f>
        <v/>
      </c>
      <c r="AA78">
        <f>IF((X78-W77)&gt;=500,IF(ABS((W78-W77))&lt;500,"",IF((W78-W77)&lt;0,-ABS((W78-W77)/(X78-W77)),MIN(1,ABS((W78-W77)/(X78-W77))))),IF((X78-W77)&lt;=-500,IF(ABS((W78-W77))&lt;500,"",IF((W78-W77)&gt;0,-ABS((W78-W77)/(X78-W77)),MIN(1,ABS((W78-W77)/(X78-W77))))),IF(ABS((W78-W77))&lt;500,1,MIN(1,500/ABS((W78-W77))))))</f>
        <v/>
      </c>
      <c r="AB78">
        <f>IF(AND(ABS((W78-W77))&lt;500,ABS((X78-W77))&lt;500),1,IF(AND(ABS((W78-W77))&lt;500,ABS((X78-W77))&gt;=500),0,IF((W78-W77)*(X78-W77)&gt;0,1,0)))</f>
        <v/>
      </c>
      <c r="AD78" s="6" t="n">
        <v>43783.33</v>
      </c>
      <c r="AE78" s="7" t="n">
        <v>44782.656</v>
      </c>
      <c r="AF78">
        <f>ABS(AD78-AE78)</f>
        <v/>
      </c>
      <c r="AG78" s="8">
        <f>IF(AD78=0,"-",1-ABS(AD78-AE78)/AD78)</f>
        <v/>
      </c>
      <c r="AH78">
        <f>IF((AE78-AD77)&gt;=500,IF(ABS((AD78-AD77))&lt;500,"",IF((AD78-AD77)&lt;0,-ABS((AD78-AD77)/(AE78-AD77)),MIN(1,ABS((AD78-AD77)/(AE78-AD77))))),IF((AE78-AD77)&lt;=-500,IF(ABS((AD78-AD77))&lt;500,"",IF((AD78-AD77)&gt;0,-ABS((AD78-AD77)/(AE78-AD77)),MIN(1,ABS((AD78-AD77)/(AE78-AD77))))),IF(ABS((AD78-AD77))&lt;500,1,MIN(1,500/ABS((AD78-AD77))))))</f>
        <v/>
      </c>
      <c r="AI78">
        <f>IF(AND(ABS((AD78-AD77))&lt;500,ABS((AE78-AD77))&lt;500),1,IF(AND(ABS((AD78-AD77))&lt;500,ABS((AE78-AD77))&gt;=500),0,IF((AD78-AD77)*(AE78-AD77)&gt;0,1,0)))</f>
        <v/>
      </c>
      <c r="AK78" s="6" t="n">
        <v>48550</v>
      </c>
      <c r="AL78" s="7" t="n">
        <v>48897.508</v>
      </c>
      <c r="AM78">
        <f>ABS(AK78-AL78)</f>
        <v/>
      </c>
      <c r="AN78" s="8">
        <f>IF(AK78=0,"-",1-ABS(AK78-AL78)/AK78)</f>
        <v/>
      </c>
      <c r="AO78">
        <f>IF((AL78-AK77)&gt;=500,IF(ABS((AK78-AK77))&lt;500,"",IF((AK78-AK77)&lt;0,-ABS((AK78-AK77)/(AL78-AK77)),MIN(1,ABS((AK78-AK77)/(AL78-AK77))))),IF((AL78-AK77)&lt;=-500,IF(ABS((AK78-AK77))&lt;500,"",IF((AK78-AK77)&gt;0,-ABS((AK78-AK77)/(AL78-AK77)),MIN(1,ABS((AK78-AK77)/(AL78-AK77))))),IF(ABS((AK78-AK77))&lt;500,1,MIN(1,500/ABS((AK78-AK77))))))</f>
        <v/>
      </c>
      <c r="AP78">
        <f>IF(AND(ABS((AK78-AK77))&lt;500,ABS((AL78-AK77))&lt;500),1,IF(AND(ABS((AK78-AK77))&lt;500,ABS((AL78-AK77))&gt;=500),0,IF((AK78-AK77)*(AL78-AK77)&gt;0,1,0)))</f>
        <v/>
      </c>
    </row>
    <row r="79">
      <c r="A79" s="5" t="n">
        <v>46089</v>
      </c>
      <c r="B79" s="6" t="n">
        <v>54400</v>
      </c>
      <c r="C79" s="7" t="n">
        <v>53894.75</v>
      </c>
      <c r="D79">
        <f>ABS(B79-C79)</f>
        <v/>
      </c>
      <c r="E79" s="8">
        <f>IF(B79=0,"-",1-ABS(B79-C79)/B79)</f>
        <v/>
      </c>
      <c r="F79">
        <f>IF((C79-B78)&gt;=500,IF(ABS((B79-B78))&lt;500,"",IF((B79-B78)&lt;0,-ABS((B79-B78)/(C79-B78)),MIN(1,ABS((B79-B78)/(C79-B78))))),IF((C79-B78)&lt;=-500,IF(ABS((B79-B78))&lt;500,"",IF((B79-B78)&gt;0,-ABS((B79-B78)/(C79-B78)),MIN(1,ABS((B79-B78)/(C79-B78))))),IF(ABS((B79-B78))&lt;500,1,MIN(1,500/ABS((B79-B78))))))</f>
        <v/>
      </c>
      <c r="G79">
        <f>IF(AND(ABS((B79-B78))&lt;500,ABS((C79-B78))&lt;500),1,IF(AND(ABS((B79-B78))&lt;500,ABS((C79-B78))&gt;=500),0,IF((B79-B78)*(C79-B78)&gt;0,1,0)))</f>
        <v/>
      </c>
      <c r="I79" s="6" t="n">
        <v>54750</v>
      </c>
      <c r="J79" s="7" t="n">
        <v>53988.15</v>
      </c>
      <c r="K79">
        <f>ABS(I79-J79)</f>
        <v/>
      </c>
      <c r="L79" s="8">
        <f>IF(I79=0,"-",1-ABS(I79-J79)/I79)</f>
        <v/>
      </c>
      <c r="M79">
        <f>IF((J79-I78)&gt;=500,IF(ABS((I79-I78))&lt;500,"",IF((I79-I78)&lt;0,-ABS((I79-I78)/(J79-I78)),MIN(1,ABS((I79-I78)/(J79-I78))))),IF((J79-I78)&lt;=-500,IF(ABS((I79-I78))&lt;500,"",IF((I79-I78)&gt;0,-ABS((I79-I78)/(J79-I78)),MIN(1,ABS((I79-I78)/(J79-I78))))),IF(ABS((I79-I78))&lt;500,1,MIN(1,500/ABS((I79-I78))))))</f>
        <v/>
      </c>
      <c r="N79">
        <f>IF(AND(ABS((I79-I78))&lt;500,ABS((J79-I78))&lt;500),1,IF(AND(ABS((I79-I78))&lt;500,ABS((J79-I78))&gt;=500),0,IF((I79-I78)*(J79-I78)&gt;0,1,0)))</f>
        <v/>
      </c>
      <c r="P79" s="6" t="n">
        <v>59800</v>
      </c>
      <c r="Q79" s="7" t="n">
        <v>59373.695</v>
      </c>
      <c r="R79">
        <f>ABS(P79-Q79)</f>
        <v/>
      </c>
      <c r="S79" s="8">
        <f>IF(P79=0,"-",1-ABS(P79-Q79)/P79)</f>
        <v/>
      </c>
      <c r="T79">
        <f>IF((Q79-P78)&gt;=500,IF(ABS((P79-P78))&lt;500,"",IF((P79-P78)&lt;0,-ABS((P79-P78)/(Q79-P78)),MIN(1,ABS((P79-P78)/(Q79-P78))))),IF((Q79-P78)&lt;=-500,IF(ABS((P79-P78))&lt;500,"",IF((P79-P78)&gt;0,-ABS((P79-P78)/(Q79-P78)),MIN(1,ABS((P79-P78)/(Q79-P78))))),IF(ABS((P79-P78))&lt;500,1,MIN(1,500/ABS((P79-P78))))))</f>
        <v/>
      </c>
      <c r="U79">
        <f>IF(AND(ABS((P79-P78))&lt;500,ABS((Q79-P78))&lt;500),1,IF(AND(ABS((P79-P78))&lt;500,ABS((Q79-P78))&gt;=500),0,IF((P79-P78)*(Q79-P78)&gt;0,1,0)))</f>
        <v/>
      </c>
      <c r="W79" s="6" t="n">
        <v>50475</v>
      </c>
      <c r="X79" s="7" t="n">
        <v>49432.805</v>
      </c>
      <c r="Y79">
        <f>ABS(W79-X79)</f>
        <v/>
      </c>
      <c r="Z79" s="8">
        <f>IF(W79=0,"-",1-ABS(W79-X79)/W79)</f>
        <v/>
      </c>
      <c r="AA79">
        <f>IF((X79-W78)&gt;=500,IF(ABS((W79-W78))&lt;500,"",IF((W79-W78)&lt;0,-ABS((W79-W78)/(X79-W78)),MIN(1,ABS((W79-W78)/(X79-W78))))),IF((X79-W78)&lt;=-500,IF(ABS((W79-W78))&lt;500,"",IF((W79-W78)&gt;0,-ABS((W79-W78)/(X79-W78)),MIN(1,ABS((W79-W78)/(X79-W78))))),IF(ABS((W79-W78))&lt;500,1,MIN(1,500/ABS((W79-W78))))))</f>
        <v/>
      </c>
      <c r="AB79">
        <f>IF(AND(ABS((W79-W78))&lt;500,ABS((X79-W78))&lt;500),1,IF(AND(ABS((W79-W78))&lt;500,ABS((X79-W78))&gt;=500),0,IF((W79-W78)*(X79-W78)&gt;0,1,0)))</f>
        <v/>
      </c>
      <c r="AD79" s="6" t="n">
        <v>45840</v>
      </c>
      <c r="AE79" s="7" t="n">
        <v>44047.254</v>
      </c>
      <c r="AF79">
        <f>ABS(AD79-AE79)</f>
        <v/>
      </c>
      <c r="AG79" s="8">
        <f>IF(AD79=0,"-",1-ABS(AD79-AE79)/AD79)</f>
        <v/>
      </c>
      <c r="AH79">
        <f>IF((AE79-AD78)&gt;=500,IF(ABS((AD79-AD78))&lt;500,"",IF((AD79-AD78)&lt;0,-ABS((AD79-AD78)/(AE79-AD78)),MIN(1,ABS((AD79-AD78)/(AE79-AD78))))),IF((AE79-AD78)&lt;=-500,IF(ABS((AD79-AD78))&lt;500,"",IF((AD79-AD78)&gt;0,-ABS((AD79-AD78)/(AE79-AD78)),MIN(1,ABS((AD79-AD78)/(AE79-AD78))))),IF(ABS((AD79-AD78))&lt;500,1,MIN(1,500/ABS((AD79-AD78))))))</f>
        <v/>
      </c>
      <c r="AI79">
        <f>IF(AND(ABS((AD79-AD78))&lt;500,ABS((AE79-AD78))&lt;500),1,IF(AND(ABS((AD79-AD78))&lt;500,ABS((AE79-AD78))&gt;=500),0,IF((AD79-AD78)*(AE79-AD78)&gt;0,1,0)))</f>
        <v/>
      </c>
      <c r="AK79" s="6" t="n">
        <v>50320</v>
      </c>
      <c r="AL79" s="7" t="n">
        <v>48459.133</v>
      </c>
      <c r="AM79">
        <f>ABS(AK79-AL79)</f>
        <v/>
      </c>
      <c r="AN79" s="8">
        <f>IF(AK79=0,"-",1-ABS(AK79-AL79)/AK79)</f>
        <v/>
      </c>
      <c r="AO79">
        <f>IF((AL79-AK78)&gt;=500,IF(ABS((AK79-AK78))&lt;500,"",IF((AK79-AK78)&lt;0,-ABS((AK79-AK78)/(AL79-AK78)),MIN(1,ABS((AK79-AK78)/(AL79-AK78))))),IF((AL79-AK78)&lt;=-500,IF(ABS((AK79-AK78))&lt;500,"",IF((AK79-AK78)&gt;0,-ABS((AK79-AK78)/(AL79-AK78)),MIN(1,ABS((AK79-AK78)/(AL79-AK78))))),IF(ABS((AK79-AK78))&lt;500,1,MIN(1,500/ABS((AK79-AK78))))))</f>
        <v/>
      </c>
      <c r="AP79">
        <f>IF(AND(ABS((AK79-AK78))&lt;500,ABS((AL79-AK78))&lt;500),1,IF(AND(ABS((AK79-AK78))&lt;500,ABS((AL79-AK78))&gt;=500),0,IF((AK79-AK78)*(AL79-AK78)&gt;0,1,0)))</f>
        <v/>
      </c>
    </row>
    <row r="80">
      <c r="A80" s="5" t="n">
        <v>46096</v>
      </c>
      <c r="B80" s="6" t="n">
        <v>55600</v>
      </c>
      <c r="C80" s="7" t="n">
        <v>54069.906</v>
      </c>
      <c r="D80">
        <f>ABS(B80-C80)</f>
        <v/>
      </c>
      <c r="E80" s="8">
        <f>IF(B80=0,"-",1-ABS(B80-C80)/B80)</f>
        <v/>
      </c>
      <c r="F80">
        <f>IF((C80-B79)&gt;=500,IF(ABS((B80-B79))&lt;500,"",IF((B80-B79)&lt;0,-ABS((B80-B79)/(C80-B79)),MIN(1,ABS((B80-B79)/(C80-B79))))),IF((C80-B79)&lt;=-500,IF(ABS((B80-B79))&lt;500,"",IF((B80-B79)&gt;0,-ABS((B80-B79)/(C80-B79)),MIN(1,ABS((B80-B79)/(C80-B79))))),IF(ABS((B80-B79))&lt;500,1,MIN(1,500/ABS((B80-B79))))))</f>
        <v/>
      </c>
      <c r="G80">
        <f>IF(AND(ABS((B80-B79))&lt;500,ABS((C80-B79))&lt;500),1,IF(AND(ABS((B80-B79))&lt;500,ABS((C80-B79))&gt;=500),0,IF((B80-B79)*(C80-B79)&gt;0,1,0)))</f>
        <v/>
      </c>
      <c r="I80" s="6" t="n">
        <v>55900</v>
      </c>
      <c r="J80" s="7" t="n">
        <v>54852.66</v>
      </c>
      <c r="K80">
        <f>ABS(I80-J80)</f>
        <v/>
      </c>
      <c r="L80" s="8">
        <f>IF(I80=0,"-",1-ABS(I80-J80)/I80)</f>
        <v/>
      </c>
      <c r="M80">
        <f>IF((J80-I79)&gt;=500,IF(ABS((I80-I79))&lt;500,"",IF((I80-I79)&lt;0,-ABS((I80-I79)/(J80-I79)),MIN(1,ABS((I80-I79)/(J80-I79))))),IF((J80-I79)&lt;=-500,IF(ABS((I80-I79))&lt;500,"",IF((I80-I79)&gt;0,-ABS((I80-I79)/(J80-I79)),MIN(1,ABS((I80-I79)/(J80-I79))))),IF(ABS((I80-I79))&lt;500,1,MIN(1,500/ABS((I80-I79))))))</f>
        <v/>
      </c>
      <c r="N80">
        <f>IF(AND(ABS((I80-I79))&lt;500,ABS((J80-I79))&lt;500),1,IF(AND(ABS((I80-I79))&lt;500,ABS((J80-I79))&gt;=500),0,IF((I80-I79)*(J80-I79)&gt;0,1,0)))</f>
        <v/>
      </c>
      <c r="P80" s="6" t="n">
        <v>60000</v>
      </c>
      <c r="Q80" s="7" t="n">
        <v>60006.348</v>
      </c>
      <c r="R80">
        <f>ABS(P80-Q80)</f>
        <v/>
      </c>
      <c r="S80" s="8">
        <f>IF(P80=0,"-",1-ABS(P80-Q80)/P80)</f>
        <v/>
      </c>
      <c r="T80">
        <f>IF((Q80-P79)&gt;=500,IF(ABS((P80-P79))&lt;500,"",IF((P80-P79)&lt;0,-ABS((P80-P79)/(Q80-P79)),MIN(1,ABS((P80-P79)/(Q80-P79))))),IF((Q80-P79)&lt;=-500,IF(ABS((P80-P79))&lt;500,"",IF((P80-P79)&gt;0,-ABS((P80-P79)/(Q80-P79)),MIN(1,ABS((P80-P79)/(Q80-P79))))),IF(ABS((P80-P79))&lt;500,1,MIN(1,500/ABS((P80-P79))))))</f>
        <v/>
      </c>
      <c r="U80">
        <f>IF(AND(ABS((P80-P79))&lt;500,ABS((Q80-P79))&lt;500),1,IF(AND(ABS((P80-P79))&lt;500,ABS((Q80-P79))&gt;=500),0,IF((P80-P79)*(Q80-P79)&gt;0,1,0)))</f>
        <v/>
      </c>
      <c r="W80" s="6" t="n">
        <v>51383.33</v>
      </c>
      <c r="X80" s="7" t="n">
        <v>50489.76</v>
      </c>
      <c r="Y80">
        <f>ABS(W80-X80)</f>
        <v/>
      </c>
      <c r="Z80" s="8">
        <f>IF(W80=0,"-",1-ABS(W80-X80)/W80)</f>
        <v/>
      </c>
      <c r="AA80">
        <f>IF((X80-W79)&gt;=500,IF(ABS((W80-W79))&lt;500,"",IF((W80-W79)&lt;0,-ABS((W80-W79)/(X80-W79)),MIN(1,ABS((W80-W79)/(X80-W79))))),IF((X80-W79)&lt;=-500,IF(ABS((W80-W79))&lt;500,"",IF((W80-W79)&gt;0,-ABS((W80-W79)/(X80-W79)),MIN(1,ABS((W80-W79)/(X80-W79))))),IF(ABS((W80-W79))&lt;500,1,MIN(1,500/ABS((W80-W79))))))</f>
        <v/>
      </c>
      <c r="AB80">
        <f>IF(AND(ABS((W80-W79))&lt;500,ABS((X80-W79))&lt;500),1,IF(AND(ABS((W80-W79))&lt;500,ABS((X80-W79))&gt;=500),0,IF((W80-W79)*(X80-W79)&gt;0,1,0)))</f>
        <v/>
      </c>
      <c r="AD80" s="6" t="n">
        <v>46183.33</v>
      </c>
      <c r="AE80" s="7" t="n">
        <v>45960.246</v>
      </c>
      <c r="AF80">
        <f>ABS(AD80-AE80)</f>
        <v/>
      </c>
      <c r="AG80" s="8">
        <f>IF(AD80=0,"-",1-ABS(AD80-AE80)/AD80)</f>
        <v/>
      </c>
      <c r="AH80">
        <f>IF((AE80-AD79)&gt;=500,IF(ABS((AD80-AD79))&lt;500,"",IF((AD80-AD79)&lt;0,-ABS((AD80-AD79)/(AE80-AD79)),MIN(1,ABS((AD80-AD79)/(AE80-AD79))))),IF((AE80-AD79)&lt;=-500,IF(ABS((AD80-AD79))&lt;500,"",IF((AD80-AD79)&gt;0,-ABS((AD80-AD79)/(AE80-AD79)),MIN(1,ABS((AD80-AD79)/(AE80-AD79))))),IF(ABS((AD80-AD79))&lt;500,1,MIN(1,500/ABS((AD80-AD79))))))</f>
        <v/>
      </c>
      <c r="AI80">
        <f>IF(AND(ABS((AD80-AD79))&lt;500,ABS((AE80-AD79))&lt;500),1,IF(AND(ABS((AD80-AD79))&lt;500,ABS((AE80-AD79))&gt;=500),0,IF((AD80-AD79)*(AE80-AD79)&gt;0,1,0)))</f>
        <v/>
      </c>
      <c r="AK80" s="6" t="n">
        <v>50283.33</v>
      </c>
      <c r="AL80" s="7" t="n">
        <v>50100.215</v>
      </c>
      <c r="AM80">
        <f>ABS(AK80-AL80)</f>
        <v/>
      </c>
      <c r="AN80" s="8">
        <f>IF(AK80=0,"-",1-ABS(AK80-AL80)/AK80)</f>
        <v/>
      </c>
      <c r="AO80">
        <f>IF((AL80-AK79)&gt;=500,IF(ABS((AK80-AK79))&lt;500,"",IF((AK80-AK79)&lt;0,-ABS((AK80-AK79)/(AL80-AK79)),MIN(1,ABS((AK80-AK79)/(AL80-AK79))))),IF((AL80-AK79)&lt;=-500,IF(ABS((AK80-AK79))&lt;500,"",IF((AK80-AK79)&gt;0,-ABS((AK80-AK79)/(AL80-AK79)),MIN(1,ABS((AK80-AK79)/(AL80-AK79))))),IF(ABS((AK80-AK79))&lt;500,1,MIN(1,500/ABS((AK80-AK79))))))</f>
        <v/>
      </c>
      <c r="AP80">
        <f>IF(AND(ABS((AK80-AK79))&lt;500,ABS((AL80-AK79))&lt;500),1,IF(AND(ABS((AK80-AK79))&lt;500,ABS((AL80-AK79))&gt;=500),0,IF((AK80-AK79)*(AL80-AK79)&gt;0,1,0)))</f>
        <v/>
      </c>
    </row>
    <row r="81">
      <c r="A81" s="5" t="n">
        <v>46103</v>
      </c>
      <c r="B81" s="6" t="n">
        <v>56900</v>
      </c>
      <c r="C81" s="7" t="n">
        <v>54928.56</v>
      </c>
      <c r="D81">
        <f>ABS(B81-C81)</f>
        <v/>
      </c>
      <c r="E81" s="8">
        <f>IF(B81=0,"-",1-ABS(B81-C81)/B81)</f>
        <v/>
      </c>
      <c r="F81">
        <f>IF((C81-B80)&gt;=500,IF(ABS((B81-B80))&lt;500,"",IF((B81-B80)&lt;0,-ABS((B81-B80)/(C81-B80)),MIN(1,ABS((B81-B80)/(C81-B80))))),IF((C81-B80)&lt;=-500,IF(ABS((B81-B80))&lt;500,"",IF((B81-B80)&gt;0,-ABS((B81-B80)/(C81-B80)),MIN(1,ABS((B81-B80)/(C81-B80))))),IF(ABS((B81-B80))&lt;500,1,MIN(1,500/ABS((B81-B80))))))</f>
        <v/>
      </c>
      <c r="G81">
        <f>IF(AND(ABS((B81-B80))&lt;500,ABS((C81-B80))&lt;500),1,IF(AND(ABS((B81-B80))&lt;500,ABS((C81-B80))&gt;=500),0,IF((B81-B80)*(C81-B80)&gt;0,1,0)))</f>
        <v/>
      </c>
      <c r="I81" s="6" t="n">
        <v>56650</v>
      </c>
      <c r="J81" s="7" t="n">
        <v>55952.445</v>
      </c>
      <c r="K81">
        <f>ABS(I81-J81)</f>
        <v/>
      </c>
      <c r="L81" s="8">
        <f>IF(I81=0,"-",1-ABS(I81-J81)/I81)</f>
        <v/>
      </c>
      <c r="M81">
        <f>IF((J81-I80)&gt;=500,IF(ABS((I81-I80))&lt;500,"",IF((I81-I80)&lt;0,-ABS((I81-I80)/(J81-I80)),MIN(1,ABS((I81-I80)/(J81-I80))))),IF((J81-I80)&lt;=-500,IF(ABS((I81-I80))&lt;500,"",IF((I81-I80)&gt;0,-ABS((I81-I80)/(J81-I80)),MIN(1,ABS((I81-I80)/(J81-I80))))),IF(ABS((I81-I80))&lt;500,1,MIN(1,500/ABS((I81-I80))))))</f>
        <v/>
      </c>
      <c r="N81">
        <f>IF(AND(ABS((I81-I80))&lt;500,ABS((J81-I80))&lt;500),1,IF(AND(ABS((I81-I80))&lt;500,ABS((J81-I80))&gt;=500),0,IF((I81-I80)*(J81-I80)&gt;0,1,0)))</f>
        <v/>
      </c>
      <c r="P81" s="6" t="n">
        <v>60000</v>
      </c>
      <c r="Q81" s="7" t="n">
        <v>60301.336</v>
      </c>
      <c r="R81">
        <f>ABS(P81-Q81)</f>
        <v/>
      </c>
      <c r="S81" s="8">
        <f>IF(P81=0,"-",1-ABS(P81-Q81)/P81)</f>
        <v/>
      </c>
      <c r="T81">
        <f>IF((Q81-P80)&gt;=500,IF(ABS((P81-P80))&lt;500,"",IF((P81-P80)&lt;0,-ABS((P81-P80)/(Q81-P80)),MIN(1,ABS((P81-P80)/(Q81-P80))))),IF((Q81-P80)&lt;=-500,IF(ABS((P81-P80))&lt;500,"",IF((P81-P80)&gt;0,-ABS((P81-P80)/(Q81-P80)),MIN(1,ABS((P81-P80)/(Q81-P80))))),IF(ABS((P81-P80))&lt;500,1,MIN(1,500/ABS((P81-P80))))))</f>
        <v/>
      </c>
      <c r="U81">
        <f>IF(AND(ABS((P81-P80))&lt;500,ABS((Q81-P80))&lt;500),1,IF(AND(ABS((P81-P80))&lt;500,ABS((Q81-P80))&gt;=500),0,IF((P81-P80)*(Q81-P80)&gt;0,1,0)))</f>
        <v/>
      </c>
      <c r="W81" s="6" t="n">
        <v>51000</v>
      </c>
      <c r="X81" s="7" t="n">
        <v>51230.055</v>
      </c>
      <c r="Y81">
        <f>ABS(W81-X81)</f>
        <v/>
      </c>
      <c r="Z81" s="8">
        <f>IF(W81=0,"-",1-ABS(W81-X81)/W81)</f>
        <v/>
      </c>
      <c r="AA81">
        <f>IF((X81-W80)&gt;=500,IF(ABS((W81-W80))&lt;500,"",IF((W81-W80)&lt;0,-ABS((W81-W80)/(X81-W80)),MIN(1,ABS((W81-W80)/(X81-W80))))),IF((X81-W80)&lt;=-500,IF(ABS((W81-W80))&lt;500,"",IF((W81-W80)&gt;0,-ABS((W81-W80)/(X81-W80)),MIN(1,ABS((W81-W80)/(X81-W80))))),IF(ABS((W81-W80))&lt;500,1,MIN(1,500/ABS((W81-W80))))))</f>
        <v/>
      </c>
      <c r="AB81">
        <f>IF(AND(ABS((W81-W80))&lt;500,ABS((X81-W80))&lt;500),1,IF(AND(ABS((W81-W80))&lt;500,ABS((X81-W80))&gt;=500),0,IF((W81-W80)*(X81-W80)&gt;0,1,0)))</f>
        <v/>
      </c>
      <c r="AD81" s="6" t="n">
        <v>46140</v>
      </c>
      <c r="AE81" s="7" t="n">
        <v>46296.86</v>
      </c>
      <c r="AF81">
        <f>ABS(AD81-AE81)</f>
        <v/>
      </c>
      <c r="AG81" s="8">
        <f>IF(AD81=0,"-",1-ABS(AD81-AE81)/AD81)</f>
        <v/>
      </c>
      <c r="AH81">
        <f>IF((AE81-AD80)&gt;=500,IF(ABS((AD81-AD80))&lt;500,"",IF((AD81-AD80)&lt;0,-ABS((AD81-AD80)/(AE81-AD80)),MIN(1,ABS((AD81-AD80)/(AE81-AD80))))),IF((AE81-AD80)&lt;=-500,IF(ABS((AD81-AD80))&lt;500,"",IF((AD81-AD80)&gt;0,-ABS((AD81-AD80)/(AE81-AD80)),MIN(1,ABS((AD81-AD80)/(AE81-AD80))))),IF(ABS((AD81-AD80))&lt;500,1,MIN(1,500/ABS((AD81-AD80))))))</f>
        <v/>
      </c>
      <c r="AI81">
        <f>IF(AND(ABS((AD81-AD80))&lt;500,ABS((AE81-AD80))&lt;500),1,IF(AND(ABS((AD81-AD80))&lt;500,ABS((AE81-AD80))&gt;=500),0,IF((AD81-AD80)*(AE81-AD80)&gt;0,1,0)))</f>
        <v/>
      </c>
      <c r="AK81" s="6" t="n">
        <v>50040</v>
      </c>
      <c r="AL81" s="7" t="n">
        <v>49996.785</v>
      </c>
      <c r="AM81">
        <f>ABS(AK81-AL81)</f>
        <v/>
      </c>
      <c r="AN81" s="8">
        <f>IF(AK81=0,"-",1-ABS(AK81-AL81)/AK81)</f>
        <v/>
      </c>
      <c r="AO81">
        <f>IF((AL81-AK80)&gt;=500,IF(ABS((AK81-AK80))&lt;500,"",IF((AK81-AK80)&lt;0,-ABS((AK81-AK80)/(AL81-AK80)),MIN(1,ABS((AK81-AK80)/(AL81-AK80))))),IF((AL81-AK80)&lt;=-500,IF(ABS((AK81-AK80))&lt;500,"",IF((AK81-AK80)&gt;0,-ABS((AK81-AK80)/(AL81-AK80)),MIN(1,ABS((AK81-AK80)/(AL81-AK80))))),IF(ABS((AK81-AK80))&lt;500,1,MIN(1,500/ABS((AK81-AK80))))))</f>
        <v/>
      </c>
      <c r="AP81">
        <f>IF(AND(ABS((AK81-AK80))&lt;500,ABS((AL81-AK80))&lt;500),1,IF(AND(ABS((AK81-AK80))&lt;500,ABS((AL81-AK80))&gt;=500),0,IF((AK81-AK80)*(AL81-AK80)&gt;0,1,0)))</f>
        <v/>
      </c>
    </row>
    <row r="82">
      <c r="A82" s="5" t="n">
        <v>46110</v>
      </c>
      <c r="B82" s="6" t="n">
        <v>58200</v>
      </c>
      <c r="C82" s="7" t="n">
        <v>56043.137</v>
      </c>
      <c r="D82">
        <f>ABS(B82-C82)</f>
        <v/>
      </c>
      <c r="E82" s="8">
        <f>IF(B82=0,"-",1-ABS(B82-C82)/B82)</f>
        <v/>
      </c>
      <c r="F82">
        <f>IF((C82-B81)&gt;=500,IF(ABS((B82-B81))&lt;500,"",IF((B82-B81)&lt;0,-ABS((B82-B81)/(C82-B81)),MIN(1,ABS((B82-B81)/(C82-B81))))),IF((C82-B81)&lt;=-500,IF(ABS((B82-B81))&lt;500,"",IF((B82-B81)&gt;0,-ABS((B82-B81)/(C82-B81)),MIN(1,ABS((B82-B81)/(C82-B81))))),IF(ABS((B82-B81))&lt;500,1,MIN(1,500/ABS((B82-B81))))))</f>
        <v/>
      </c>
      <c r="G82">
        <f>IF(AND(ABS((B82-B81))&lt;500,ABS((C82-B81))&lt;500),1,IF(AND(ABS((B82-B81))&lt;500,ABS((C82-B81))&gt;=500),0,IF((B82-B81)*(C82-B81)&gt;0,1,0)))</f>
        <v/>
      </c>
      <c r="I82" s="6" t="n">
        <v>57700</v>
      </c>
      <c r="J82" s="7" t="n">
        <v>56808.547</v>
      </c>
      <c r="K82">
        <f>ABS(I82-J82)</f>
        <v/>
      </c>
      <c r="L82" s="8">
        <f>IF(I82=0,"-",1-ABS(I82-J82)/I82)</f>
        <v/>
      </c>
      <c r="M82">
        <f>IF((J82-I81)&gt;=500,IF(ABS((I82-I81))&lt;500,"",IF((I82-I81)&lt;0,-ABS((I82-I81)/(J82-I81)),MIN(1,ABS((I82-I81)/(J82-I81))))),IF((J82-I81)&lt;=-500,IF(ABS((I82-I81))&lt;500,"",IF((I82-I81)&gt;0,-ABS((I82-I81)/(J82-I81)),MIN(1,ABS((I82-I81)/(J82-I81))))),IF(ABS((I82-I81))&lt;500,1,MIN(1,500/ABS((I82-I81))))))</f>
        <v/>
      </c>
      <c r="N82">
        <f>IF(AND(ABS((I82-I81))&lt;500,ABS((J82-I81))&lt;500),1,IF(AND(ABS((I82-I81))&lt;500,ABS((J82-I81))&gt;=500),0,IF((I82-I81)*(J82-I81)&gt;0,1,0)))</f>
        <v/>
      </c>
      <c r="P82" s="6" t="n">
        <v>60000</v>
      </c>
      <c r="Q82" s="7" t="n">
        <v>60297.984</v>
      </c>
      <c r="R82">
        <f>ABS(P82-Q82)</f>
        <v/>
      </c>
      <c r="S82" s="8">
        <f>IF(P82=0,"-",1-ABS(P82-Q82)/P82)</f>
        <v/>
      </c>
      <c r="T82">
        <f>IF((Q82-P81)&gt;=500,IF(ABS((P82-P81))&lt;500,"",IF((P82-P81)&lt;0,-ABS((P82-P81)/(Q82-P81)),MIN(1,ABS((P82-P81)/(Q82-P81))))),IF((Q82-P81)&lt;=-500,IF(ABS((P82-P81))&lt;500,"",IF((P82-P81)&gt;0,-ABS((P82-P81)/(Q82-P81)),MIN(1,ABS((P82-P81)/(Q82-P81))))),IF(ABS((P82-P81))&lt;500,1,MIN(1,500/ABS((P82-P81))))))</f>
        <v/>
      </c>
      <c r="U82">
        <f>IF(AND(ABS((P82-P81))&lt;500,ABS((Q82-P81))&lt;500),1,IF(AND(ABS((P82-P81))&lt;500,ABS((Q82-P81))&gt;=500),0,IF((P82-P81)*(Q82-P81)&gt;0,1,0)))</f>
        <v/>
      </c>
      <c r="W82" s="6" t="n">
        <v>50750</v>
      </c>
      <c r="X82" s="7" t="n">
        <v>50885.94</v>
      </c>
      <c r="Y82">
        <f>ABS(W82-X82)</f>
        <v/>
      </c>
      <c r="Z82" s="8">
        <f>IF(W82=0,"-",1-ABS(W82-X82)/W82)</f>
        <v/>
      </c>
      <c r="AA82">
        <f>IF((X82-W81)&gt;=500,IF(ABS((W82-W81))&lt;500,"",IF((W82-W81)&lt;0,-ABS((W82-W81)/(X82-W81)),MIN(1,ABS((W82-W81)/(X82-W81))))),IF((X82-W81)&lt;=-500,IF(ABS((W82-W81))&lt;500,"",IF((W82-W81)&gt;0,-ABS((W82-W81)/(X82-W81)),MIN(1,ABS((W82-W81)/(X82-W81))))),IF(ABS((W82-W81))&lt;500,1,MIN(1,500/ABS((W82-W81))))))</f>
        <v/>
      </c>
      <c r="AB82">
        <f>IF(AND(ABS((W82-W81))&lt;500,ABS((X82-W81))&lt;500),1,IF(AND(ABS((W82-W81))&lt;500,ABS((X82-W81))&gt;=500),0,IF((W82-W81)*(X82-W81)&gt;0,1,0)))</f>
        <v/>
      </c>
      <c r="AD82" s="6" t="n">
        <v>45550</v>
      </c>
      <c r="AE82" s="7" t="n">
        <v>46233.51</v>
      </c>
      <c r="AF82">
        <f>ABS(AD82-AE82)</f>
        <v/>
      </c>
      <c r="AG82" s="8">
        <f>IF(AD82=0,"-",1-ABS(AD82-AE82)/AD82)</f>
        <v/>
      </c>
      <c r="AH82">
        <f>IF((AE82-AD81)&gt;=500,IF(ABS((AD82-AD81))&lt;500,"",IF((AD82-AD81)&lt;0,-ABS((AD82-AD81)/(AE82-AD81)),MIN(1,ABS((AD82-AD81)/(AE82-AD81))))),IF((AE82-AD81)&lt;=-500,IF(ABS((AD82-AD81))&lt;500,"",IF((AD82-AD81)&gt;0,-ABS((AD82-AD81)/(AE82-AD81)),MIN(1,ABS((AD82-AD81)/(AE82-AD81))))),IF(ABS((AD82-AD81))&lt;500,1,MIN(1,500/ABS((AD82-AD81))))))</f>
        <v/>
      </c>
      <c r="AI82">
        <f>IF(AND(ABS((AD82-AD81))&lt;500,ABS((AE82-AD81))&lt;500),1,IF(AND(ABS((AD82-AD81))&lt;500,ABS((AE82-AD81))&gt;=500),0,IF((AD82-AD81)*(AE82-AD81)&gt;0,1,0)))</f>
        <v/>
      </c>
      <c r="AK82" s="6" t="n">
        <v>49533.33</v>
      </c>
      <c r="AL82" s="7" t="n">
        <v>49765.543</v>
      </c>
      <c r="AM82">
        <f>ABS(AK82-AL82)</f>
        <v/>
      </c>
      <c r="AN82" s="8">
        <f>IF(AK82=0,"-",1-ABS(AK82-AL82)/AK82)</f>
        <v/>
      </c>
      <c r="AO82">
        <f>IF((AL82-AK81)&gt;=500,IF(ABS((AK82-AK81))&lt;500,"",IF((AK82-AK81)&lt;0,-ABS((AK82-AK81)/(AL82-AK81)),MIN(1,ABS((AK82-AK81)/(AL82-AK81))))),IF((AL82-AK81)&lt;=-500,IF(ABS((AK82-AK81))&lt;500,"",IF((AK82-AK81)&gt;0,-ABS((AK82-AK81)/(AL82-AK81)),MIN(1,ABS((AK82-AK81)/(AL82-AK81))))),IF(ABS((AK82-AK81))&lt;500,1,MIN(1,500/ABS((AK82-AK81))))))</f>
        <v/>
      </c>
      <c r="AP82">
        <f>IF(AND(ABS((AK82-AK81))&lt;500,ABS((AL82-AK81))&lt;500),1,IF(AND(ABS((AK82-AK81))&lt;500,ABS((AL82-AK81))&gt;=500),0,IF((AK82-AK81)*(AL82-AK81)&gt;0,1,0)))</f>
        <v/>
      </c>
    </row>
    <row r="83">
      <c r="A83" s="5" t="n">
        <v>46117</v>
      </c>
      <c r="B83" s="6" t="n">
        <v>59100</v>
      </c>
      <c r="C83" s="7" t="n">
        <v>57022.99</v>
      </c>
      <c r="D83">
        <f>ABS(B83-C83)</f>
        <v/>
      </c>
      <c r="E83" s="8">
        <f>IF(B83=0,"-",1-ABS(B83-C83)/B83)</f>
        <v/>
      </c>
      <c r="F83">
        <f>IF((C83-B82)&gt;=500,IF(ABS((B83-B82))&lt;500,"",IF((B83-B82)&lt;0,-ABS((B83-B82)/(C83-B82)),MIN(1,ABS((B83-B82)/(C83-B82))))),IF((C83-B82)&lt;=-500,IF(ABS((B83-B82))&lt;500,"",IF((B83-B82)&gt;0,-ABS((B83-B82)/(C83-B82)),MIN(1,ABS((B83-B82)/(C83-B82))))),IF(ABS((B83-B82))&lt;500,1,MIN(1,500/ABS((B83-B82))))))</f>
        <v/>
      </c>
      <c r="G83">
        <f>IF(AND(ABS((B83-B82))&lt;500,ABS((C83-B82))&lt;500),1,IF(AND(ABS((B83-B82))&lt;500,ABS((C83-B82))&gt;=500),0,IF((B83-B82)*(C83-B82)&gt;0,1,0)))</f>
        <v/>
      </c>
      <c r="I83" s="6" t="n">
        <v>59600</v>
      </c>
      <c r="J83" s="7" t="n">
        <v>57863.266</v>
      </c>
      <c r="K83">
        <f>ABS(I83-J83)</f>
        <v/>
      </c>
      <c r="L83" s="8">
        <f>IF(I83=0,"-",1-ABS(I83-J83)/I83)</f>
        <v/>
      </c>
      <c r="M83">
        <f>IF((J83-I82)&gt;=500,IF(ABS((I83-I82))&lt;500,"",IF((I83-I82)&lt;0,-ABS((I83-I82)/(J83-I82)),MIN(1,ABS((I83-I82)/(J83-I82))))),IF((J83-I82)&lt;=-500,IF(ABS((I83-I82))&lt;500,"",IF((I83-I82)&gt;0,-ABS((I83-I82)/(J83-I82)),MIN(1,ABS((I83-I82)/(J83-I82))))),IF(ABS((I83-I82))&lt;500,1,MIN(1,500/ABS((I83-I82))))))</f>
        <v/>
      </c>
      <c r="N83">
        <f>IF(AND(ABS((I83-I82))&lt;500,ABS((J83-I82))&lt;500),1,IF(AND(ABS((I83-I82))&lt;500,ABS((J83-I82))&gt;=500),0,IF((I83-I82)*(J83-I82)&gt;0,1,0)))</f>
        <v/>
      </c>
      <c r="P83" s="6" t="n">
        <v>60300</v>
      </c>
      <c r="Q83" s="7" t="n">
        <v>60286.848</v>
      </c>
      <c r="R83">
        <f>ABS(P83-Q83)</f>
        <v/>
      </c>
      <c r="S83" s="8">
        <f>IF(P83=0,"-",1-ABS(P83-Q83)/P83)</f>
        <v/>
      </c>
      <c r="T83">
        <f>IF((Q83-P82)&gt;=500,IF(ABS((P83-P82))&lt;500,"",IF((P83-P82)&lt;0,-ABS((P83-P82)/(Q83-P82)),MIN(1,ABS((P83-P82)/(Q83-P82))))),IF((Q83-P82)&lt;=-500,IF(ABS((P83-P82))&lt;500,"",IF((P83-P82)&gt;0,-ABS((P83-P82)/(Q83-P82)),MIN(1,ABS((P83-P82)/(Q83-P82))))),IF(ABS((P83-P82))&lt;500,1,MIN(1,500/ABS((P83-P82))))))</f>
        <v/>
      </c>
      <c r="U83">
        <f>IF(AND(ABS((P83-P82))&lt;500,ABS((Q83-P82))&lt;500),1,IF(AND(ABS((P83-P82))&lt;500,ABS((Q83-P82))&gt;=500),0,IF((P83-P82)*(Q83-P82)&gt;0,1,0)))</f>
        <v/>
      </c>
      <c r="W83" s="6" t="n">
        <v>52820</v>
      </c>
      <c r="X83" s="7" t="n">
        <v>50797.85</v>
      </c>
      <c r="Y83">
        <f>ABS(W83-X83)</f>
        <v/>
      </c>
      <c r="Z83" s="8">
        <f>IF(W83=0,"-",1-ABS(W83-X83)/W83)</f>
        <v/>
      </c>
      <c r="AA83">
        <f>IF((X83-W82)&gt;=500,IF(ABS((W83-W82))&lt;500,"",IF((W83-W82)&lt;0,-ABS((W83-W82)/(X83-W82)),MIN(1,ABS((W83-W82)/(X83-W82))))),IF((X83-W82)&lt;=-500,IF(ABS((W83-W82))&lt;500,"",IF((W83-W82)&gt;0,-ABS((W83-W82)/(X83-W82)),MIN(1,ABS((W83-W82)/(X83-W82))))),IF(ABS((W83-W82))&lt;500,1,MIN(1,500/ABS((W83-W82))))))</f>
        <v/>
      </c>
      <c r="AB83">
        <f>IF(AND(ABS((W83-W82))&lt;500,ABS((X83-W82))&lt;500),1,IF(AND(ABS((W83-W82))&lt;500,ABS((X83-W82))&gt;=500),0,IF((W83-W82)*(X83-W82)&gt;0,1,0)))</f>
        <v/>
      </c>
      <c r="AD83" s="6" t="n">
        <v>48000</v>
      </c>
      <c r="AE83" s="7" t="n">
        <v>45768.1</v>
      </c>
      <c r="AF83">
        <f>ABS(AD83-AE83)</f>
        <v/>
      </c>
      <c r="AG83" s="8">
        <f>IF(AD83=0,"-",1-ABS(AD83-AE83)/AD83)</f>
        <v/>
      </c>
      <c r="AH83">
        <f>IF((AE83-AD82)&gt;=500,IF(ABS((AD83-AD82))&lt;500,"",IF((AD83-AD82)&lt;0,-ABS((AD83-AD82)/(AE83-AD82)),MIN(1,ABS((AD83-AD82)/(AE83-AD82))))),IF((AE83-AD82)&lt;=-500,IF(ABS((AD83-AD82))&lt;500,"",IF((AD83-AD82)&gt;0,-ABS((AD83-AD82)/(AE83-AD82)),MIN(1,ABS((AD83-AD82)/(AE83-AD82))))),IF(ABS((AD83-AD82))&lt;500,1,MIN(1,500/ABS((AD83-AD82))))))</f>
        <v/>
      </c>
      <c r="AI83">
        <f>IF(AND(ABS((AD83-AD82))&lt;500,ABS((AE83-AD82))&lt;500),1,IF(AND(ABS((AD83-AD82))&lt;500,ABS((AE83-AD82))&gt;=500),0,IF((AD83-AD82)*(AE83-AD82)&gt;0,1,0)))</f>
        <v/>
      </c>
      <c r="AK83" s="6" t="n">
        <v>51460</v>
      </c>
      <c r="AL83" s="7" t="n">
        <v>49520.133</v>
      </c>
      <c r="AM83">
        <f>ABS(AK83-AL83)</f>
        <v/>
      </c>
      <c r="AN83" s="8">
        <f>IF(AK83=0,"-",1-ABS(AK83-AL83)/AK83)</f>
        <v/>
      </c>
      <c r="AO83">
        <f>IF((AL83-AK82)&gt;=500,IF(ABS((AK83-AK82))&lt;500,"",IF((AK83-AK82)&lt;0,-ABS((AK83-AK82)/(AL83-AK82)),MIN(1,ABS((AK83-AK82)/(AL83-AK82))))),IF((AL83-AK82)&lt;=-500,IF(ABS((AK83-AK82))&lt;500,"",IF((AK83-AK82)&gt;0,-ABS((AK83-AK82)/(AL83-AK82)),MIN(1,ABS((AK83-AK82)/(AL83-AK82))))),IF(ABS((AK83-AK82))&lt;500,1,MIN(1,500/ABS((AK83-AK82))))))</f>
        <v/>
      </c>
      <c r="AP83">
        <f>IF(AND(ABS((AK83-AK82))&lt;500,ABS((AL83-AK82))&lt;500),1,IF(AND(ABS((AK83-AK82))&lt;500,ABS((AL83-AK82))&gt;=500),0,IF((AK83-AK82)*(AL83-AK82)&gt;0,1,0)))</f>
        <v/>
      </c>
    </row>
    <row r="84">
      <c r="A84" s="5" t="n">
        <v>46124</v>
      </c>
      <c r="B84" s="6" t="n">
        <v>59500</v>
      </c>
      <c r="C84" s="7" t="n">
        <v>57786.363</v>
      </c>
      <c r="D84">
        <f>ABS(B84-C84)</f>
        <v/>
      </c>
      <c r="E84" s="8">
        <f>IF(B84=0,"-",1-ABS(B84-C84)/B84)</f>
        <v/>
      </c>
      <c r="F84">
        <f>IF((C84-B83)&gt;=500,IF(ABS((B84-B83))&lt;500,"",IF((B84-B83)&lt;0,-ABS((B84-B83)/(C84-B83)),MIN(1,ABS((B84-B83)/(C84-B83))))),IF((C84-B83)&lt;=-500,IF(ABS((B84-B83))&lt;500,"",IF((B84-B83)&gt;0,-ABS((B84-B83)/(C84-B83)),MIN(1,ABS((B84-B83)/(C84-B83))))),IF(ABS((B84-B83))&lt;500,1,MIN(1,500/ABS((B84-B83))))))</f>
        <v/>
      </c>
      <c r="G84">
        <f>IF(AND(ABS((B84-B83))&lt;500,ABS((C84-B83))&lt;500),1,IF(AND(ABS((B84-B83))&lt;500,ABS((C84-B83))&gt;=500),0,IF((B84-B83)*(C84-B83)&gt;0,1,0)))</f>
        <v/>
      </c>
      <c r="I84" s="6" t="n">
        <v>59600</v>
      </c>
      <c r="J84" s="7" t="n">
        <v>60035.79</v>
      </c>
      <c r="K84">
        <f>ABS(I84-J84)</f>
        <v/>
      </c>
      <c r="L84" s="8">
        <f>IF(I84=0,"-",1-ABS(I84-J84)/I84)</f>
        <v/>
      </c>
      <c r="M84">
        <f>IF((J84-I83)&gt;=500,IF(ABS((I84-I83))&lt;500,"",IF((I84-I83)&lt;0,-ABS((I84-I83)/(J84-I83)),MIN(1,ABS((I84-I83)/(J84-I83))))),IF((J84-I83)&lt;=-500,IF(ABS((I84-I83))&lt;500,"",IF((I84-I83)&gt;0,-ABS((I84-I83)/(J84-I83)),MIN(1,ABS((I84-I83)/(J84-I83))))),IF(ABS((I84-I83))&lt;500,1,MIN(1,500/ABS((I84-I83))))))</f>
        <v/>
      </c>
      <c r="N84">
        <f>IF(AND(ABS((I84-I83))&lt;500,ABS((J84-I83))&lt;500),1,IF(AND(ABS((I84-I83))&lt;500,ABS((J84-I83))&gt;=500),0,IF((I84-I83)*(J84-I83)&gt;0,1,0)))</f>
        <v/>
      </c>
      <c r="P84" s="6" t="n">
        <v>60550</v>
      </c>
      <c r="Q84" s="7" t="n">
        <v>60717.44</v>
      </c>
      <c r="R84">
        <f>ABS(P84-Q84)</f>
        <v/>
      </c>
      <c r="S84" s="8">
        <f>IF(P84=0,"-",1-ABS(P84-Q84)/P84)</f>
        <v/>
      </c>
      <c r="T84">
        <f>IF((Q84-P83)&gt;=500,IF(ABS((P84-P83))&lt;500,"",IF((P84-P83)&lt;0,-ABS((P84-P83)/(Q84-P83)),MIN(1,ABS((P84-P83)/(Q84-P83))))),IF((Q84-P83)&lt;=-500,IF(ABS((P84-P83))&lt;500,"",IF((P84-P83)&gt;0,-ABS((P84-P83)/(Q84-P83)),MIN(1,ABS((P84-P83)/(Q84-P83))))),IF(ABS((P84-P83))&lt;500,1,MIN(1,500/ABS((P84-P83))))))</f>
        <v/>
      </c>
      <c r="U84">
        <f>IF(AND(ABS((P84-P83))&lt;500,ABS((Q84-P83))&lt;500),1,IF(AND(ABS((P84-P83))&lt;500,ABS((Q84-P83))&gt;=500),0,IF((P84-P83)*(Q84-P83)&gt;0,1,0)))</f>
        <v/>
      </c>
      <c r="W84" s="6" t="n">
        <v>53980</v>
      </c>
      <c r="X84" s="7" t="n">
        <v>52934.305</v>
      </c>
      <c r="Y84">
        <f>ABS(W84-X84)</f>
        <v/>
      </c>
      <c r="Z84" s="8">
        <f>IF(W84=0,"-",1-ABS(W84-X84)/W84)</f>
        <v/>
      </c>
      <c r="AA84">
        <f>IF((X84-W83)&gt;=500,IF(ABS((W84-W83))&lt;500,"",IF((W84-W83)&lt;0,-ABS((W84-W83)/(X84-W83)),MIN(1,ABS((W84-W83)/(X84-W83))))),IF((X84-W83)&lt;=-500,IF(ABS((W84-W83))&lt;500,"",IF((W84-W83)&gt;0,-ABS((W84-W83)/(X84-W83)),MIN(1,ABS((W84-W83)/(X84-W83))))),IF(ABS((W84-W83))&lt;500,1,MIN(1,500/ABS((W84-W83))))))</f>
        <v/>
      </c>
      <c r="AB84">
        <f>IF(AND(ABS((W84-W83))&lt;500,ABS((X84-W83))&lt;500),1,IF(AND(ABS((W84-W83))&lt;500,ABS((X84-W83))&gt;=500),0,IF((W84-W83)*(X84-W83)&gt;0,1,0)))</f>
        <v/>
      </c>
      <c r="AD84" s="6" t="n">
        <v>47900</v>
      </c>
      <c r="AE84" s="7" t="n">
        <v>48164.105</v>
      </c>
      <c r="AF84">
        <f>ABS(AD84-AE84)</f>
        <v/>
      </c>
      <c r="AG84" s="8">
        <f>IF(AD84=0,"-",1-ABS(AD84-AE84)/AD84)</f>
        <v/>
      </c>
      <c r="AH84">
        <f>IF((AE84-AD83)&gt;=500,IF(ABS((AD84-AD83))&lt;500,"",IF((AD84-AD83)&lt;0,-ABS((AD84-AD83)/(AE84-AD83)),MIN(1,ABS((AD84-AD83)/(AE84-AD83))))),IF((AE84-AD83)&lt;=-500,IF(ABS((AD84-AD83))&lt;500,"",IF((AD84-AD83)&gt;0,-ABS((AD84-AD83)/(AE84-AD83)),MIN(1,ABS((AD84-AD83)/(AE84-AD83))))),IF(ABS((AD84-AD83))&lt;500,1,MIN(1,500/ABS((AD84-AD83))))))</f>
        <v/>
      </c>
      <c r="AI84">
        <f>IF(AND(ABS((AD84-AD83))&lt;500,ABS((AE84-AD83))&lt;500),1,IF(AND(ABS((AD84-AD83))&lt;500,ABS((AE84-AD83))&gt;=500),0,IF((AD84-AD83)*(AE84-AD83)&gt;0,1,0)))</f>
        <v/>
      </c>
      <c r="AK84" s="6" t="n">
        <v>52483</v>
      </c>
      <c r="AL84" s="7" t="n">
        <v>51358.99</v>
      </c>
      <c r="AM84">
        <f>ABS(AK84-AL84)</f>
        <v/>
      </c>
      <c r="AN84" s="8">
        <f>IF(AK84=0,"-",1-ABS(AK84-AL84)/AK84)</f>
        <v/>
      </c>
      <c r="AO84">
        <f>IF((AL84-AK83)&gt;=500,IF(ABS((AK84-AK83))&lt;500,"",IF((AK84-AK83)&lt;0,-ABS((AK84-AK83)/(AL84-AK83)),MIN(1,ABS((AK84-AK83)/(AL84-AK83))))),IF((AL84-AK83)&lt;=-500,IF(ABS((AK84-AK83))&lt;500,"",IF((AK84-AK83)&gt;0,-ABS((AK84-AK83)/(AL84-AK83)),MIN(1,ABS((AK84-AK83)/(AL84-AK83))))),IF(ABS((AK84-AK83))&lt;500,1,MIN(1,500/ABS((AK84-AK83))))))</f>
        <v/>
      </c>
      <c r="AP84">
        <f>IF(AND(ABS((AK84-AK83))&lt;500,ABS((AL84-AK83))&lt;500),1,IF(AND(ABS((AK84-AK83))&lt;500,ABS((AL84-AK83))&gt;=500),0,IF((AK84-AK83)*(AL84-AK83)&gt;0,1,0)))</f>
        <v/>
      </c>
    </row>
    <row r="85">
      <c r="A85" s="5" t="n">
        <v>46131</v>
      </c>
      <c r="B85" s="6" t="n">
        <v>59500</v>
      </c>
      <c r="C85" s="7" t="n">
        <v>58293.35</v>
      </c>
      <c r="D85">
        <f>ABS(B85-C85)</f>
        <v/>
      </c>
      <c r="E85" s="8">
        <f>IF(B85=0,"-",1-ABS(B85-C85)/B85)</f>
        <v/>
      </c>
      <c r="F85">
        <f>IF((C85-B84)&gt;=500,IF(ABS((B85-B84))&lt;500,"",IF((B85-B84)&lt;0,-ABS((B85-B84)/(C85-B84)),MIN(1,ABS((B85-B84)/(C85-B84))))),IF((C85-B84)&lt;=-500,IF(ABS((B85-B84))&lt;500,"",IF((B85-B84)&gt;0,-ABS((B85-B84)/(C85-B84)),MIN(1,ABS((B85-B84)/(C85-B84))))),IF(ABS((B85-B84))&lt;500,1,MIN(1,500/ABS((B85-B84))))))</f>
        <v/>
      </c>
      <c r="G85">
        <f>IF(AND(ABS((B85-B84))&lt;500,ABS((C85-B84))&lt;500),1,IF(AND(ABS((B85-B84))&lt;500,ABS((C85-B84))&gt;=500),0,IF((B85-B84)*(C85-B84)&gt;0,1,0)))</f>
        <v/>
      </c>
      <c r="I85" s="6" t="n">
        <v>59200</v>
      </c>
      <c r="J85" s="7" t="n">
        <v>59607.16</v>
      </c>
      <c r="K85">
        <f>ABS(I85-J85)</f>
        <v/>
      </c>
      <c r="L85" s="8">
        <f>IF(I85=0,"-",1-ABS(I85-J85)/I85)</f>
        <v/>
      </c>
      <c r="M85">
        <f>IF((J85-I84)&gt;=500,IF(ABS((I85-I84))&lt;500,"",IF((I85-I84)&lt;0,-ABS((I85-I84)/(J85-I84)),MIN(1,ABS((I85-I84)/(J85-I84))))),IF((J85-I84)&lt;=-500,IF(ABS((I85-I84))&lt;500,"",IF((I85-I84)&gt;0,-ABS((I85-I84)/(J85-I84)),MIN(1,ABS((I85-I84)/(J85-I84))))),IF(ABS((I85-I84))&lt;500,1,MIN(1,500/ABS((I85-I84))))))</f>
        <v/>
      </c>
      <c r="N85">
        <f>IF(AND(ABS((I85-I84))&lt;500,ABS((J85-I84))&lt;500),1,IF(AND(ABS((I85-I84))&lt;500,ABS((J85-I84))&gt;=500),0,IF((I85-I84)*(J85-I84)&gt;0,1,0)))</f>
        <v/>
      </c>
      <c r="P85" s="6" t="n">
        <v>60450</v>
      </c>
      <c r="Q85" s="7" t="n">
        <v>61148.598</v>
      </c>
      <c r="R85">
        <f>ABS(P85-Q85)</f>
        <v/>
      </c>
      <c r="S85" s="8">
        <f>IF(P85=0,"-",1-ABS(P85-Q85)/P85)</f>
        <v/>
      </c>
      <c r="T85">
        <f>IF((Q85-P84)&gt;=500,IF(ABS((P85-P84))&lt;500,"",IF((P85-P84)&lt;0,-ABS((P85-P84)/(Q85-P84)),MIN(1,ABS((P85-P84)/(Q85-P84))))),IF((Q85-P84)&lt;=-500,IF(ABS((P85-P84))&lt;500,"",IF((P85-P84)&gt;0,-ABS((P85-P84)/(Q85-P84)),MIN(1,ABS((P85-P84)/(Q85-P84))))),IF(ABS((P85-P84))&lt;500,1,MIN(1,500/ABS((P85-P84))))))</f>
        <v/>
      </c>
      <c r="U85">
        <f>IF(AND(ABS((P85-P84))&lt;500,ABS((Q85-P84))&lt;500),1,IF(AND(ABS((P85-P84))&lt;500,ABS((Q85-P84))&gt;=500),0,IF((P85-P84)*(Q85-P84)&gt;0,1,0)))</f>
        <v/>
      </c>
      <c r="W85" s="6" t="n">
        <v>52433</v>
      </c>
      <c r="X85" s="7" t="n">
        <v>54273.938</v>
      </c>
      <c r="Y85">
        <f>ABS(W85-X85)</f>
        <v/>
      </c>
      <c r="Z85" s="8">
        <f>IF(W85=0,"-",1-ABS(W85-X85)/W85)</f>
        <v/>
      </c>
      <c r="AA85">
        <f>IF((X85-W84)&gt;=500,IF(ABS((W85-W84))&lt;500,"",IF((W85-W84)&lt;0,-ABS((W85-W84)/(X85-W84)),MIN(1,ABS((W85-W84)/(X85-W84))))),IF((X85-W84)&lt;=-500,IF(ABS((W85-W84))&lt;500,"",IF((W85-W84)&gt;0,-ABS((W85-W84)/(X85-W84)),MIN(1,ABS((W85-W84)/(X85-W84))))),IF(ABS((W85-W84))&lt;500,1,MIN(1,500/ABS((W85-W84))))))</f>
        <v/>
      </c>
      <c r="AB85">
        <f>IF(AND(ABS((W85-W84))&lt;500,ABS((X85-W84))&lt;500),1,IF(AND(ABS((W85-W84))&lt;500,ABS((X85-W84))&gt;=500),0,IF((W85-W84)*(X85-W84)&gt;0,1,0)))</f>
        <v/>
      </c>
      <c r="AD85" s="6" t="n">
        <v>46966</v>
      </c>
      <c r="AE85" s="7" t="n">
        <v>48248.176</v>
      </c>
      <c r="AF85">
        <f>ABS(AD85-AE85)</f>
        <v/>
      </c>
      <c r="AG85" s="8">
        <f>IF(AD85=0,"-",1-ABS(AD85-AE85)/AD85)</f>
        <v/>
      </c>
      <c r="AH85">
        <f>IF((AE85-AD84)&gt;=500,IF(ABS((AD85-AD84))&lt;500,"",IF((AD85-AD84)&lt;0,-ABS((AD85-AD84)/(AE85-AD84)),MIN(1,ABS((AD85-AD84)/(AE85-AD84))))),IF((AE85-AD84)&lt;=-500,IF(ABS((AD85-AD84))&lt;500,"",IF((AD85-AD84)&gt;0,-ABS((AD85-AD84)/(AE85-AD84)),MIN(1,ABS((AD85-AD84)/(AE85-AD84))))),IF(ABS((AD85-AD84))&lt;500,1,MIN(1,500/ABS((AD85-AD84))))))</f>
        <v/>
      </c>
      <c r="AI85">
        <f>IF(AND(ABS((AD85-AD84))&lt;500,ABS((AE85-AD84))&lt;500),1,IF(AND(ABS((AD85-AD84))&lt;500,ABS((AE85-AD84))&gt;=500),0,IF((AD85-AD84)*(AE85-AD84)&gt;0,1,0)))</f>
        <v/>
      </c>
      <c r="AK85" s="6" t="n">
        <v>52450</v>
      </c>
      <c r="AL85" s="7" t="n">
        <v>52367.98</v>
      </c>
      <c r="AM85">
        <f>ABS(AK85-AL85)</f>
        <v/>
      </c>
      <c r="AN85" s="8">
        <f>IF(AK85=0,"-",1-ABS(AK85-AL85)/AK85)</f>
        <v/>
      </c>
      <c r="AO85">
        <f>IF((AL85-AK84)&gt;=500,IF(ABS((AK85-AK84))&lt;500,"",IF((AK85-AK84)&lt;0,-ABS((AK85-AK84)/(AL85-AK84)),MIN(1,ABS((AK85-AK84)/(AL85-AK84))))),IF((AL85-AK84)&lt;=-500,IF(ABS((AK85-AK84))&lt;500,"",IF((AK85-AK84)&gt;0,-ABS((AK85-AK84)/(AL85-AK84)),MIN(1,ABS((AK85-AK84)/(AL85-AK84))))),IF(ABS((AK85-AK84))&lt;500,1,MIN(1,500/ABS((AK85-AK84))))))</f>
        <v/>
      </c>
      <c r="AP85">
        <f>IF(AND(ABS((AK85-AK84))&lt;500,ABS((AL85-AK84))&lt;500),1,IF(AND(ABS((AK85-AK84))&lt;500,ABS((AL85-AK84))&gt;=500),0,IF((AK85-AK84)*(AL85-AK84)&gt;0,1,0)))</f>
        <v/>
      </c>
    </row>
  </sheetData>
  <mergeCells count="49">
    <mergeCell ref="AC40:AC51"/>
    <mergeCell ref="I1:O1"/>
    <mergeCell ref="O52:O63"/>
    <mergeCell ref="H16:H27"/>
    <mergeCell ref="AJ64:AJ75"/>
    <mergeCell ref="V16:V27"/>
    <mergeCell ref="H28:H39"/>
    <mergeCell ref="AC52:AC63"/>
    <mergeCell ref="AJ76:AJ85"/>
    <mergeCell ref="H76:H85"/>
    <mergeCell ref="AQ28:AQ39"/>
    <mergeCell ref="AQ40:AQ51"/>
    <mergeCell ref="AJ4:AJ15"/>
    <mergeCell ref="AJ40:AJ51"/>
    <mergeCell ref="V52:V63"/>
    <mergeCell ref="H4:H15"/>
    <mergeCell ref="AJ16:AJ27"/>
    <mergeCell ref="AJ52:AJ63"/>
    <mergeCell ref="AC16:AC27"/>
    <mergeCell ref="V64:V75"/>
    <mergeCell ref="O28:O39"/>
    <mergeCell ref="V76:V85"/>
    <mergeCell ref="AQ76:AQ85"/>
    <mergeCell ref="V4:V15"/>
    <mergeCell ref="P1:V1"/>
    <mergeCell ref="AC28:AC39"/>
    <mergeCell ref="A1:A3"/>
    <mergeCell ref="AQ16:AQ27"/>
    <mergeCell ref="H64:H75"/>
    <mergeCell ref="AC76:AC85"/>
    <mergeCell ref="V28:V39"/>
    <mergeCell ref="AD1:AJ1"/>
    <mergeCell ref="H40:H51"/>
    <mergeCell ref="W1:AC1"/>
    <mergeCell ref="V40:V51"/>
    <mergeCell ref="O4:O15"/>
    <mergeCell ref="H52:H63"/>
    <mergeCell ref="AQ52:AQ63"/>
    <mergeCell ref="B1:H1"/>
    <mergeCell ref="AC64:AC75"/>
    <mergeCell ref="AC4:AC15"/>
    <mergeCell ref="O16:O27"/>
    <mergeCell ref="AQ4:AQ15"/>
    <mergeCell ref="AQ64:AQ75"/>
    <mergeCell ref="O64:O75"/>
    <mergeCell ref="AJ28:AJ39"/>
    <mergeCell ref="O40:O51"/>
    <mergeCell ref="AK1:AQ1"/>
    <mergeCell ref="O76:O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2026-06-18T10:13:19Z</dcterms:created>
  <dcterms:modified xsi:type="dcterms:W3CDTF">2026-06-18T10:13:19Z</dcterms:modified>
</cp:coreProperties>
</file>